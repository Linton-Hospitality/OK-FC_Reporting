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Budget_2026" sheetId="2" state="visible" r:id="rId2"/>
    <sheet name="Forecast_Rolling" sheetId="3" state="visible" r:id="rId3"/>
    <sheet name="Actuals_Input" sheetId="4" state="visible" r:id="rId4"/>
    <sheet name="Pace_Weekly" sheetId="5" state="visible" r:id="rId5"/>
    <sheet name="Variance" sheetId="6" state="visible" r:id="rId6"/>
    <sheet name="Portfolio_Rollup" sheetId="7" state="visible" r:id="rId7"/>
    <sheet name="Report_Data" sheetId="8" state="visible" r:id="rId8"/>
    <sheet name="Legend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;&quot;($&quot;#,##0\);\-"/>
    <numFmt numFmtId="165" formatCode="0.0%;\(0.0%\);\-"/>
    <numFmt numFmtId="166" formatCode="#,##0;\(#,##0\);\-"/>
    <numFmt numFmtId="167" formatCode="\$#,##0.00;&quot;($&quot;#,##0.00\);\-"/>
    <numFmt numFmtId="168" formatCode="0.0%"/>
    <numFmt numFmtId="169" formatCode="\$#,##0.00"/>
    <numFmt numFmtId="170" formatCode="$#,##0.00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DFCF9"/>
      <sz val="14"/>
    </font>
    <font>
      <name val="Arial"/>
      <charset val="1"/>
      <family val="0"/>
      <b val="1"/>
      <color rgb="FFFDFCF9"/>
      <sz val="10"/>
    </font>
    <font>
      <name val="Arial"/>
      <charset val="1"/>
      <family val="0"/>
      <b val="1"/>
      <color rgb="FF2A2A2A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5F0E8"/>
      <sz val="9"/>
    </font>
    <font>
      <name val="Arial"/>
      <charset val="1"/>
      <family val="0"/>
      <color rgb="FF2A2A2A"/>
      <sz val="10"/>
    </font>
    <font>
      <name val="Arial"/>
      <charset val="1"/>
      <family val="0"/>
      <color rgb="FF6B6B5E"/>
      <sz val="9"/>
    </font>
    <font>
      <name val="Arial"/>
      <charset val="1"/>
      <family val="0"/>
      <color rgb="FF000000"/>
      <sz val="10"/>
    </font>
    <font>
      <name val="Arial"/>
      <charset val="1"/>
      <family val="0"/>
      <color rgb="FF2A2A2A"/>
      <sz val="9"/>
    </font>
    <font>
      <name val="Arial"/>
      <charset val="1"/>
      <family val="0"/>
      <color rgb="FF008000"/>
      <sz val="10"/>
    </font>
    <font>
      <name val="Arial"/>
      <charset val="1"/>
      <family val="0"/>
      <i val="1"/>
      <color rgb="FF6B6B5E"/>
      <sz val="9"/>
    </font>
    <font>
      <name val="Arial"/>
      <charset val="1"/>
      <family val="0"/>
      <b val="1"/>
      <color rgb="FFFDFCF9"/>
      <sz val="11"/>
    </font>
    <font>
      <name val="Arial"/>
      <charset val="1"/>
      <family val="0"/>
      <b val="1"/>
      <color rgb="FF1F3320"/>
      <sz val="11"/>
    </font>
    <font>
      <name val="Arial"/>
      <charset val="1"/>
      <family val="0"/>
      <b val="1"/>
      <color rgb="FFC8923A"/>
      <sz val="10"/>
    </font>
    <font>
      <name val="Arial"/>
      <charset val="1"/>
      <family val="0"/>
      <b val="1"/>
      <color rgb="FF1F3320"/>
      <sz val="10"/>
    </font>
    <font>
      <name val="Arial"/>
      <charset val="1"/>
      <family val="0"/>
      <color rgb="FF6B6B5E"/>
      <sz val="10"/>
    </font>
    <font>
      <name val="Arial"/>
      <charset val="1"/>
      <family val="0"/>
      <b val="1"/>
      <color rgb="FFFFFCF9"/>
      <sz val="10"/>
    </font>
    <font>
      <name val="Arial"/>
      <family val="2"/>
      <sz val="10"/>
    </font>
    <font>
      <name val="Arial"/>
      <charset val="1"/>
      <family val="0"/>
      <b val="1"/>
      <color rgb="FFFDFCF9"/>
      <sz val="9"/>
    </font>
    <font>
      <name val="Arial"/>
      <charset val="1"/>
      <family val="0"/>
      <i val="1"/>
      <color rgb="FF6B6B5E"/>
      <sz val="10"/>
    </font>
    <font>
      <name val="Arial"/>
      <charset val="1"/>
      <family val="0"/>
      <i val="1"/>
      <color rgb="FFA8401A"/>
      <sz val="9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b val="1"/>
      <color rgb="FFAAAA00"/>
      <sz val="10"/>
    </font>
    <font>
      <name val="Arial"/>
      <charset val="1"/>
      <family val="0"/>
      <b val="1"/>
      <color rgb="FF4477BB"/>
      <sz val="10"/>
    </font>
    <font>
      <name val="Arial"/>
      <charset val="1"/>
      <family val="0"/>
      <b val="1"/>
      <color rgb="FF8A9E7A"/>
      <sz val="10"/>
    </font>
    <font>
      <name val="Arial"/>
      <b val="1"/>
      <color rgb="00FFFCF9"/>
      <sz val="10"/>
    </font>
  </fonts>
  <fills count="14">
    <fill>
      <patternFill/>
    </fill>
    <fill>
      <patternFill patternType="gray125"/>
    </fill>
    <fill>
      <patternFill patternType="solid">
        <fgColor rgb="FF1F3320"/>
        <bgColor rgb="FF2A2A2A"/>
      </patternFill>
    </fill>
    <fill>
      <patternFill patternType="solid">
        <fgColor rgb="FF3B4A2F"/>
        <bgColor rgb="FF1F3320"/>
      </patternFill>
    </fill>
    <fill>
      <patternFill patternType="solid">
        <fgColor rgb="FFEAE3D5"/>
        <bgColor rgb="FFF5F0E8"/>
      </patternFill>
    </fill>
    <fill>
      <patternFill patternType="solid">
        <fgColor rgb="FFFDFCF9"/>
        <bgColor rgb="FFFFFCF9"/>
      </patternFill>
    </fill>
    <fill>
      <patternFill patternType="solid">
        <fgColor rgb="FFFFF8E7"/>
        <bgColor rgb="FFFFFCF9"/>
      </patternFill>
    </fill>
    <fill>
      <patternFill patternType="solid">
        <fgColor rgb="FF8A9E7A"/>
        <bgColor rgb="FF808080"/>
      </patternFill>
    </fill>
    <fill>
      <patternFill patternType="solid">
        <fgColor rgb="FFFFFF99"/>
        <bgColor rgb="FFFFF8E7"/>
      </patternFill>
    </fill>
    <fill>
      <patternFill patternType="solid">
        <fgColor rgb="FFFFEBEE"/>
        <bgColor rgb="FFF5F0E8"/>
      </patternFill>
    </fill>
    <fill>
      <patternFill patternType="solid">
        <fgColor rgb="FFC8923A"/>
        <bgColor rgb="FFAAAA00"/>
      </patternFill>
    </fill>
    <fill>
      <patternFill patternType="solid">
        <fgColor rgb="FFDDEEFF"/>
        <bgColor rgb="FFF0F4EC"/>
      </patternFill>
    </fill>
    <fill>
      <patternFill patternType="solid">
        <fgColor rgb="FFF0F4EC"/>
        <bgColor rgb="FFF5F0E8"/>
      </patternFill>
    </fill>
    <fill>
      <patternFill patternType="solid">
        <fgColor rgb="FF1F3320"/>
        <bgColor rgb="FF1F3320"/>
      </patternFill>
    </fill>
  </fills>
  <borders count="10">
    <border>
      <left/>
      <right/>
      <top/>
      <bottom/>
      <diagonal/>
    </border>
    <border>
      <left style="thin">
        <color rgb="FF1F3320"/>
      </left>
      <right/>
      <top style="thin">
        <color rgb="FF1F3320"/>
      </top>
      <bottom style="thin">
        <color rgb="FF1F3320"/>
      </bottom>
      <diagonal/>
    </border>
    <border>
      <left/>
      <right/>
      <top/>
      <bottom style="thin">
        <color rgb="FFD5CCB8"/>
      </bottom>
      <diagonal/>
    </border>
    <border>
      <left style="thin">
        <color rgb="FF1F3320"/>
      </left>
      <right style="thin">
        <color rgb="FF1F3320"/>
      </right>
      <top style="thin">
        <color rgb="FF1F3320"/>
      </top>
      <bottom style="thin">
        <color rgb="FF1F3320"/>
      </bottom>
      <diagonal/>
    </border>
    <border>
      <left/>
      <right/>
      <top/>
      <bottom style="thin">
        <color rgb="FFC8923A"/>
      </bottom>
      <diagonal/>
    </border>
    <border>
      <left style="thin">
        <color rgb="FFC8923A"/>
      </left>
      <right/>
      <top style="thin">
        <color rgb="FFC8923A"/>
      </top>
      <bottom style="thin">
        <color rgb="FFC8923A"/>
      </bottom>
      <diagonal/>
    </border>
    <border>
      <left/>
      <right/>
      <top style="thin">
        <color rgb="FF1F3320"/>
      </top>
      <bottom/>
      <diagonal/>
    </border>
    <border>
      <left/>
      <right/>
      <top style="thin">
        <color rgb="FF1F3320"/>
      </top>
      <bottom style="thin">
        <color rgb="FF1F3320"/>
      </bottom>
      <diagonal/>
    </border>
    <border>
      <left/>
      <right/>
      <top style="thin">
        <color rgb="FFC8923A"/>
      </top>
      <bottom/>
      <diagonal/>
    </border>
    <border>
      <left/>
      <right/>
      <top style="thin">
        <color rgb="FFC8923A"/>
      </top>
      <bottom style="thin">
        <color rgb="FFC8923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5" borderId="2" applyAlignment="1" pivotButton="0" quotePrefix="0" xfId="0">
      <alignment horizontal="left" vertical="center" indent="1"/>
    </xf>
    <xf numFmtId="0" fontId="8" fillId="3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indent="1"/>
    </xf>
    <xf numFmtId="0" fontId="7" fillId="6" borderId="2" applyAlignment="1" pivotButton="0" quotePrefix="0" xfId="0">
      <alignment horizontal="left" vertical="center" indent="1"/>
    </xf>
    <xf numFmtId="164" fontId="7" fillId="6" borderId="2" applyAlignment="1" pivotButton="0" quotePrefix="0" xfId="0">
      <alignment horizontal="left" vertical="center" indent="1"/>
    </xf>
    <xf numFmtId="0" fontId="10" fillId="6" borderId="2" applyAlignment="1" pivotButton="0" quotePrefix="0" xfId="0">
      <alignment horizontal="left" vertical="center" indent="1"/>
    </xf>
    <xf numFmtId="0" fontId="9" fillId="5" borderId="2" applyAlignment="1" pivotButton="0" quotePrefix="0" xfId="0">
      <alignment horizontal="left" vertical="center" indent="1"/>
    </xf>
    <xf numFmtId="164" fontId="7" fillId="5" borderId="2" applyAlignment="1" pivotButton="0" quotePrefix="0" xfId="0">
      <alignment horizontal="left" vertical="center" indent="1"/>
    </xf>
    <xf numFmtId="0" fontId="10" fillId="5" borderId="2" applyAlignment="1" pivotButton="0" quotePrefix="0" xfId="0">
      <alignment horizontal="left" vertical="center" indent="1"/>
    </xf>
    <xf numFmtId="165" fontId="7" fillId="6" borderId="0" applyAlignment="1" pivotButton="0" quotePrefix="0" xfId="0">
      <alignment horizontal="center" vertical="center"/>
    </xf>
    <xf numFmtId="165" fontId="11" fillId="7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164" fontId="7" fillId="6" borderId="0" applyAlignment="1" pivotButton="0" quotePrefix="0" xfId="0">
      <alignment horizontal="center" vertical="center"/>
    </xf>
    <xf numFmtId="164" fontId="11" fillId="7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164" fontId="13" fillId="7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indent="2"/>
    </xf>
    <xf numFmtId="166" fontId="11" fillId="5" borderId="0" applyAlignment="1" pivotButton="0" quotePrefix="0" xfId="0">
      <alignment horizontal="center" vertical="center"/>
    </xf>
    <xf numFmtId="166" fontId="13" fillId="7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7" fontId="6" fillId="4" borderId="0" applyAlignment="1" pivotButton="0" quotePrefix="0" xfId="0">
      <alignment horizontal="center" vertical="center"/>
    </xf>
    <xf numFmtId="167" fontId="6" fillId="7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 indent="1"/>
    </xf>
    <xf numFmtId="165" fontId="7" fillId="8" borderId="4" applyAlignment="1" pivotButton="0" quotePrefix="0" xfId="0">
      <alignment horizontal="center" vertical="center"/>
    </xf>
    <xf numFmtId="164" fontId="7" fillId="8" borderId="4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center" vertical="center"/>
    </xf>
    <xf numFmtId="164" fontId="11" fillId="9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general" vertical="bottom"/>
    </xf>
    <xf numFmtId="164" fontId="15" fillId="2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left" vertical="center" indent="1"/>
    </xf>
    <xf numFmtId="0" fontId="0" fillId="10" borderId="0" applyAlignment="1" pivotButton="0" quotePrefix="0" xfId="0">
      <alignment horizontal="general" vertical="bottom"/>
    </xf>
    <xf numFmtId="164" fontId="16" fillId="10" borderId="0" applyAlignment="1" pivotButton="0" quotePrefix="0" xfId="0">
      <alignment horizontal="center" vertical="center"/>
    </xf>
    <xf numFmtId="166" fontId="9" fillId="5" borderId="0" applyAlignment="1" pivotButton="0" quotePrefix="0" xfId="0">
      <alignment horizontal="center" vertical="center"/>
    </xf>
    <xf numFmtId="167" fontId="11" fillId="4" borderId="0" applyAlignment="1" pivotButton="0" quotePrefix="0" xfId="0">
      <alignment horizontal="center" vertical="center"/>
    </xf>
    <xf numFmtId="167" fontId="11" fillId="7" borderId="0" applyAlignment="1" pivotButton="0" quotePrefix="0" xfId="0">
      <alignment horizontal="center" vertical="center"/>
    </xf>
    <xf numFmtId="165" fontId="11" fillId="4" borderId="0" applyAlignment="1" pivotButton="0" quotePrefix="0" xfId="0">
      <alignment horizontal="center" vertical="center"/>
    </xf>
    <xf numFmtId="164" fontId="7" fillId="11" borderId="0" applyAlignment="1" pivotButton="0" quotePrefix="0" xfId="0">
      <alignment horizontal="center" vertical="center"/>
    </xf>
    <xf numFmtId="165" fontId="13" fillId="7" borderId="0" applyAlignment="1" pivotButton="0" quotePrefix="0" xfId="0">
      <alignment horizontal="center" vertical="center"/>
    </xf>
    <xf numFmtId="167" fontId="13" fillId="7" borderId="0" applyAlignment="1" pivotButton="0" quotePrefix="0" xfId="0">
      <alignment horizontal="center" vertical="center"/>
    </xf>
    <xf numFmtId="164" fontId="11" fillId="4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 wrapText="1" indent="1"/>
    </xf>
    <xf numFmtId="0" fontId="17" fillId="2" borderId="0" applyAlignment="1" pivotButton="0" quotePrefix="0" xfId="0">
      <alignment horizontal="left" vertical="center" indent="1"/>
    </xf>
    <xf numFmtId="0" fontId="6" fillId="1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1" fontId="7" fillId="11" borderId="0" applyAlignment="1" pivotButton="0" quotePrefix="0" xfId="0">
      <alignment horizontal="center" vertical="center"/>
    </xf>
    <xf numFmtId="166" fontId="9" fillId="4" borderId="0" applyAlignment="1" pivotButton="0" quotePrefix="0" xfId="0">
      <alignment horizontal="center" vertical="center"/>
    </xf>
    <xf numFmtId="166" fontId="7" fillId="11" borderId="0" applyAlignment="1" pivotButton="0" quotePrefix="0" xfId="0">
      <alignment horizontal="center" vertical="center"/>
    </xf>
    <xf numFmtId="165" fontId="11" fillId="12" borderId="0" applyAlignment="1" pivotButton="0" quotePrefix="0" xfId="0">
      <alignment horizontal="center" vertical="center"/>
    </xf>
    <xf numFmtId="165" fontId="9" fillId="4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5" fontId="11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indent="1"/>
    </xf>
    <xf numFmtId="0" fontId="18" fillId="10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165" fontId="11" fillId="6" borderId="0" applyAlignment="1" pivotButton="0" quotePrefix="0" xfId="0">
      <alignment horizontal="center" vertical="center"/>
    </xf>
    <xf numFmtId="166" fontId="11" fillId="6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left" vertical="center" indent="1"/>
    </xf>
    <xf numFmtId="168" fontId="0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5" fontId="15" fillId="2" borderId="0" applyAlignment="1" pivotButton="0" quotePrefix="0" xfId="0">
      <alignment horizontal="center" vertical="center"/>
    </xf>
    <xf numFmtId="165" fontId="7" fillId="11" borderId="0" applyAlignment="1" pivotButton="0" quotePrefix="0" xfId="0">
      <alignment horizontal="center" vertical="center"/>
    </xf>
    <xf numFmtId="167" fontId="7" fillId="11" borderId="0" applyAlignment="1" pivotButton="0" quotePrefix="0" xfId="0">
      <alignment horizontal="center" vertical="center"/>
    </xf>
    <xf numFmtId="0" fontId="22" fillId="2" borderId="5" applyAlignment="1" pivotButton="0" quotePrefix="0" xfId="0">
      <alignment horizontal="center" vertical="center"/>
    </xf>
    <xf numFmtId="0" fontId="6" fillId="12" borderId="0" applyAlignment="1" pivotButton="0" quotePrefix="0" xfId="0">
      <alignment horizontal="left" vertical="center" indent="1"/>
    </xf>
    <xf numFmtId="166" fontId="9" fillId="12" borderId="0" applyAlignment="1" pivotButton="0" quotePrefix="0" xfId="0">
      <alignment horizontal="center" vertical="center"/>
    </xf>
    <xf numFmtId="164" fontId="9" fillId="12" borderId="0" applyAlignment="1" pivotButton="0" quotePrefix="0" xfId="0">
      <alignment horizontal="center" vertical="center"/>
    </xf>
    <xf numFmtId="164" fontId="13" fillId="12" borderId="0" applyAlignment="1" pivotButton="0" quotePrefix="0" xfId="0">
      <alignment horizontal="center" vertical="center"/>
    </xf>
    <xf numFmtId="165" fontId="13" fillId="12" borderId="0" applyAlignment="1" pivotButton="0" quotePrefix="0" xfId="0">
      <alignment horizontal="center" vertical="center"/>
    </xf>
    <xf numFmtId="165" fontId="9" fillId="12" borderId="0" applyAlignment="1" pivotButton="0" quotePrefix="0" xfId="0">
      <alignment horizontal="center" vertical="center"/>
    </xf>
    <xf numFmtId="167" fontId="9" fillId="12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center" vertical="center"/>
    </xf>
    <xf numFmtId="166" fontId="23" fillId="5" borderId="0" applyAlignment="1" pivotButton="0" quotePrefix="0" xfId="0">
      <alignment horizontal="center" vertical="center"/>
    </xf>
    <xf numFmtId="49" fontId="14" fillId="5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left" vertical="center" indent="1"/>
    </xf>
    <xf numFmtId="0" fontId="23" fillId="4" borderId="0" applyAlignment="1" pivotButton="0" quotePrefix="0" xfId="0">
      <alignment horizontal="center" vertical="center"/>
    </xf>
    <xf numFmtId="166" fontId="23" fillId="4" borderId="0" applyAlignment="1" pivotButton="0" quotePrefix="0" xfId="0">
      <alignment horizontal="center" vertical="center"/>
    </xf>
    <xf numFmtId="49" fontId="14" fillId="4" borderId="0" applyAlignment="1" pivotButton="0" quotePrefix="0" xfId="0">
      <alignment horizontal="center" vertical="center"/>
    </xf>
    <xf numFmtId="167" fontId="15" fillId="2" borderId="0" applyAlignment="1" pivotButton="0" quotePrefix="0" xfId="0">
      <alignment horizontal="center" vertical="center"/>
    </xf>
    <xf numFmtId="0" fontId="24" fillId="9" borderId="0" applyAlignment="1" pivotButton="0" quotePrefix="0" xfId="0">
      <alignment horizontal="left" vertical="center" indent="1"/>
    </xf>
    <xf numFmtId="0" fontId="18" fillId="4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18" fillId="5" borderId="0" applyAlignment="1" pivotButton="0" quotePrefix="0" xfId="0">
      <alignment horizontal="left" vertical="center" indent="1"/>
    </xf>
    <xf numFmtId="0" fontId="13" fillId="6" borderId="0" applyAlignment="1" pivotButton="0" quotePrefix="0" xfId="0">
      <alignment horizontal="center" vertical="center"/>
    </xf>
    <xf numFmtId="166" fontId="13" fillId="6" borderId="0" applyAlignment="1" pivotButton="0" quotePrefix="0" xfId="0">
      <alignment horizontal="center" vertical="center"/>
    </xf>
    <xf numFmtId="166" fontId="7" fillId="6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wrapText="1" indent="1"/>
    </xf>
    <xf numFmtId="0" fontId="26" fillId="5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wrapText="1" indent="1"/>
    </xf>
    <xf numFmtId="0" fontId="27" fillId="4" borderId="0" applyAlignment="1" pivotButton="0" quotePrefix="0" xfId="0">
      <alignment horizontal="left" vertical="center" indent="1"/>
    </xf>
    <xf numFmtId="0" fontId="28" fillId="5" borderId="0" applyAlignment="1" pivotButton="0" quotePrefix="0" xfId="0">
      <alignment horizontal="left" vertical="center" indent="1"/>
    </xf>
    <xf numFmtId="0" fontId="29" fillId="4" borderId="0" applyAlignment="1" pivotButton="0" quotePrefix="0" xfId="0">
      <alignment horizontal="left" vertical="center" indent="1"/>
    </xf>
    <xf numFmtId="0" fontId="17" fillId="4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0" fillId="0" borderId="7" pivotButton="0" quotePrefix="0" xfId="0"/>
    <xf numFmtId="0" fontId="6" fillId="4" borderId="0" applyAlignment="1" pivotButton="0" quotePrefix="0" xfId="0">
      <alignment horizontal="left" vertical="center" indent="1"/>
    </xf>
    <xf numFmtId="0" fontId="7" fillId="5" borderId="2" applyAlignment="1" pivotButton="0" quotePrefix="0" xfId="0">
      <alignment horizontal="left" vertical="center" indent="1"/>
    </xf>
    <xf numFmtId="0" fontId="8" fillId="3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indent="1"/>
    </xf>
    <xf numFmtId="0" fontId="7" fillId="6" borderId="2" applyAlignment="1" pivotButton="0" quotePrefix="0" xfId="0">
      <alignment horizontal="left" vertical="center" indent="1"/>
    </xf>
    <xf numFmtId="164" fontId="7" fillId="6" borderId="2" applyAlignment="1" pivotButton="0" quotePrefix="0" xfId="0">
      <alignment horizontal="left" vertical="center" indent="1"/>
    </xf>
    <xf numFmtId="0" fontId="10" fillId="6" borderId="2" applyAlignment="1" pivotButton="0" quotePrefix="0" xfId="0">
      <alignment horizontal="left" vertical="center" indent="1"/>
    </xf>
    <xf numFmtId="0" fontId="9" fillId="5" borderId="2" applyAlignment="1" pivotButton="0" quotePrefix="0" xfId="0">
      <alignment horizontal="left" vertical="center" indent="1"/>
    </xf>
    <xf numFmtId="164" fontId="7" fillId="5" borderId="2" applyAlignment="1" pivotButton="0" quotePrefix="0" xfId="0">
      <alignment horizontal="left" vertical="center" indent="1"/>
    </xf>
    <xf numFmtId="0" fontId="10" fillId="5" borderId="2" applyAlignment="1" pivotButton="0" quotePrefix="0" xfId="0">
      <alignment horizontal="left" vertical="center" indent="1"/>
    </xf>
    <xf numFmtId="165" fontId="7" fillId="6" borderId="0" applyAlignment="1" pivotButton="0" quotePrefix="0" xfId="0">
      <alignment horizontal="center" vertical="center"/>
    </xf>
    <xf numFmtId="165" fontId="11" fillId="7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164" fontId="7" fillId="6" borderId="0" applyAlignment="1" pivotButton="0" quotePrefix="0" xfId="0">
      <alignment horizontal="center" vertical="center"/>
    </xf>
    <xf numFmtId="164" fontId="11" fillId="7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164" fontId="13" fillId="7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indent="2"/>
    </xf>
    <xf numFmtId="166" fontId="11" fillId="5" borderId="0" applyAlignment="1" pivotButton="0" quotePrefix="0" xfId="0">
      <alignment horizontal="center" vertical="center"/>
    </xf>
    <xf numFmtId="166" fontId="13" fillId="7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7" fontId="6" fillId="4" borderId="0" applyAlignment="1" pivotButton="0" quotePrefix="0" xfId="0">
      <alignment horizontal="center" vertical="center"/>
    </xf>
    <xf numFmtId="167" fontId="6" fillId="7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 indent="1"/>
    </xf>
    <xf numFmtId="165" fontId="7" fillId="8" borderId="4" applyAlignment="1" pivotButton="0" quotePrefix="0" xfId="0">
      <alignment horizontal="center" vertical="center"/>
    </xf>
    <xf numFmtId="164" fontId="7" fillId="8" borderId="4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center" vertical="center"/>
    </xf>
    <xf numFmtId="164" fontId="11" fillId="9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general" vertical="bottom"/>
    </xf>
    <xf numFmtId="164" fontId="15" fillId="2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left" vertical="center" indent="1"/>
    </xf>
    <xf numFmtId="0" fontId="0" fillId="10" borderId="0" applyAlignment="1" pivotButton="0" quotePrefix="0" xfId="0">
      <alignment horizontal="general" vertical="bottom"/>
    </xf>
    <xf numFmtId="164" fontId="16" fillId="10" borderId="0" applyAlignment="1" pivotButton="0" quotePrefix="0" xfId="0">
      <alignment horizontal="center" vertical="center"/>
    </xf>
    <xf numFmtId="166" fontId="9" fillId="5" borderId="0" applyAlignment="1" pivotButton="0" quotePrefix="0" xfId="0">
      <alignment horizontal="center" vertical="center"/>
    </xf>
    <xf numFmtId="167" fontId="11" fillId="4" borderId="0" applyAlignment="1" pivotButton="0" quotePrefix="0" xfId="0">
      <alignment horizontal="center" vertical="center"/>
    </xf>
    <xf numFmtId="167" fontId="11" fillId="7" borderId="0" applyAlignment="1" pivotButton="0" quotePrefix="0" xfId="0">
      <alignment horizontal="center" vertical="center"/>
    </xf>
    <xf numFmtId="165" fontId="11" fillId="4" borderId="0" applyAlignment="1" pivotButton="0" quotePrefix="0" xfId="0">
      <alignment horizontal="center" vertical="center"/>
    </xf>
    <xf numFmtId="164" fontId="7" fillId="11" borderId="0" applyAlignment="1" pivotButton="0" quotePrefix="0" xfId="0">
      <alignment horizontal="center" vertical="center"/>
    </xf>
    <xf numFmtId="165" fontId="13" fillId="7" borderId="0" applyAlignment="1" pivotButton="0" quotePrefix="0" xfId="0">
      <alignment horizontal="center" vertical="center"/>
    </xf>
    <xf numFmtId="167" fontId="13" fillId="7" borderId="0" applyAlignment="1" pivotButton="0" quotePrefix="0" xfId="0">
      <alignment horizontal="center" vertical="center"/>
    </xf>
    <xf numFmtId="164" fontId="11" fillId="4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 wrapText="1" indent="1"/>
    </xf>
    <xf numFmtId="0" fontId="17" fillId="2" borderId="0" applyAlignment="1" pivotButton="0" quotePrefix="0" xfId="0">
      <alignment horizontal="left" vertical="center" indent="1"/>
    </xf>
    <xf numFmtId="0" fontId="6" fillId="1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1" fontId="7" fillId="11" borderId="0" applyAlignment="1" pivotButton="0" quotePrefix="0" xfId="0">
      <alignment horizontal="center" vertical="center"/>
    </xf>
    <xf numFmtId="166" fontId="9" fillId="4" borderId="0" applyAlignment="1" pivotButton="0" quotePrefix="0" xfId="0">
      <alignment horizontal="center" vertical="center"/>
    </xf>
    <xf numFmtId="166" fontId="7" fillId="11" borderId="0" applyAlignment="1" pivotButton="0" quotePrefix="0" xfId="0">
      <alignment horizontal="center" vertical="center"/>
    </xf>
    <xf numFmtId="165" fontId="11" fillId="12" borderId="0" applyAlignment="1" pivotButton="0" quotePrefix="0" xfId="0">
      <alignment horizontal="center" vertical="center"/>
    </xf>
    <xf numFmtId="165" fontId="9" fillId="4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5" fontId="11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indent="1"/>
    </xf>
    <xf numFmtId="0" fontId="18" fillId="10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165" fontId="11" fillId="6" borderId="0" applyAlignment="1" pivotButton="0" quotePrefix="0" xfId="0">
      <alignment horizontal="center" vertical="center"/>
    </xf>
    <xf numFmtId="166" fontId="11" fillId="6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left" vertical="center" indent="1"/>
    </xf>
    <xf numFmtId="168" fontId="0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0" fontId="31" fillId="13" borderId="0" applyAlignment="1" pivotButton="0" quotePrefix="0" xfId="0">
      <alignment horizontal="left" vertical="center" indent="1"/>
    </xf>
    <xf numFmtId="168" fontId="0" fillId="0" borderId="0" pivotButton="0" quotePrefix="0" xfId="0"/>
    <xf numFmtId="170" fontId="0" fillId="0" borderId="0" pivotButton="0" quotePrefix="0" xfId="0"/>
    <xf numFmtId="165" fontId="15" fillId="2" borderId="0" applyAlignment="1" pivotButton="0" quotePrefix="0" xfId="0">
      <alignment horizontal="center" vertical="center"/>
    </xf>
    <xf numFmtId="165" fontId="7" fillId="11" borderId="0" applyAlignment="1" pivotButton="0" quotePrefix="0" xfId="0">
      <alignment horizontal="center" vertical="center"/>
    </xf>
    <xf numFmtId="167" fontId="7" fillId="11" borderId="0" applyAlignment="1" pivotButton="0" quotePrefix="0" xfId="0">
      <alignment horizontal="center" vertical="center"/>
    </xf>
    <xf numFmtId="0" fontId="22" fillId="2" borderId="5" applyAlignment="1" pivotButton="0" quotePrefix="0" xfId="0">
      <alignment horizontal="center" vertical="center"/>
    </xf>
    <xf numFmtId="0" fontId="0" fillId="0" borderId="9" pivotButton="0" quotePrefix="0" xfId="0"/>
    <xf numFmtId="0" fontId="6" fillId="12" borderId="0" applyAlignment="1" pivotButton="0" quotePrefix="0" xfId="0">
      <alignment horizontal="left" vertical="center" indent="1"/>
    </xf>
    <xf numFmtId="166" fontId="9" fillId="12" borderId="0" applyAlignment="1" pivotButton="0" quotePrefix="0" xfId="0">
      <alignment horizontal="center" vertical="center"/>
    </xf>
    <xf numFmtId="164" fontId="9" fillId="12" borderId="0" applyAlignment="1" pivotButton="0" quotePrefix="0" xfId="0">
      <alignment horizontal="center" vertical="center"/>
    </xf>
    <xf numFmtId="164" fontId="13" fillId="12" borderId="0" applyAlignment="1" pivotButton="0" quotePrefix="0" xfId="0">
      <alignment horizontal="center" vertical="center"/>
    </xf>
    <xf numFmtId="165" fontId="13" fillId="12" borderId="0" applyAlignment="1" pivotButton="0" quotePrefix="0" xfId="0">
      <alignment horizontal="center" vertical="center"/>
    </xf>
    <xf numFmtId="165" fontId="9" fillId="12" borderId="0" applyAlignment="1" pivotButton="0" quotePrefix="0" xfId="0">
      <alignment horizontal="center" vertical="center"/>
    </xf>
    <xf numFmtId="167" fontId="9" fillId="12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center" vertical="center"/>
    </xf>
    <xf numFmtId="166" fontId="23" fillId="5" borderId="0" applyAlignment="1" pivotButton="0" quotePrefix="0" xfId="0">
      <alignment horizontal="center" vertical="center"/>
    </xf>
    <xf numFmtId="49" fontId="14" fillId="5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left" vertical="center" indent="1"/>
    </xf>
    <xf numFmtId="0" fontId="23" fillId="4" borderId="0" applyAlignment="1" pivotButton="0" quotePrefix="0" xfId="0">
      <alignment horizontal="center" vertical="center"/>
    </xf>
    <xf numFmtId="166" fontId="23" fillId="4" borderId="0" applyAlignment="1" pivotButton="0" quotePrefix="0" xfId="0">
      <alignment horizontal="center" vertical="center"/>
    </xf>
    <xf numFmtId="49" fontId="14" fillId="4" borderId="0" applyAlignment="1" pivotButton="0" quotePrefix="0" xfId="0">
      <alignment horizontal="center" vertical="center"/>
    </xf>
    <xf numFmtId="167" fontId="15" fillId="2" borderId="0" applyAlignment="1" pivotButton="0" quotePrefix="0" xfId="0">
      <alignment horizontal="center" vertical="center"/>
    </xf>
    <xf numFmtId="0" fontId="24" fillId="9" borderId="0" applyAlignment="1" pivotButton="0" quotePrefix="0" xfId="0">
      <alignment horizontal="left" vertical="center" indent="1"/>
    </xf>
    <xf numFmtId="0" fontId="18" fillId="4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18" fillId="5" borderId="0" applyAlignment="1" pivotButton="0" quotePrefix="0" xfId="0">
      <alignment horizontal="left" vertical="center" indent="1"/>
    </xf>
    <xf numFmtId="0" fontId="13" fillId="6" borderId="0" applyAlignment="1" pivotButton="0" quotePrefix="0" xfId="0">
      <alignment horizontal="center" vertical="center"/>
    </xf>
    <xf numFmtId="166" fontId="13" fillId="6" borderId="0" applyAlignment="1" pivotButton="0" quotePrefix="0" xfId="0">
      <alignment horizontal="center" vertical="center"/>
    </xf>
    <xf numFmtId="166" fontId="7" fillId="6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wrapText="1" indent="1"/>
    </xf>
    <xf numFmtId="0" fontId="26" fillId="5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wrapText="1" indent="1"/>
    </xf>
    <xf numFmtId="0" fontId="27" fillId="4" borderId="0" applyAlignment="1" pivotButton="0" quotePrefix="0" xfId="0">
      <alignment horizontal="left" vertical="center" indent="1"/>
    </xf>
    <xf numFmtId="0" fontId="28" fillId="5" borderId="0" applyAlignment="1" pivotButton="0" quotePrefix="0" xfId="0">
      <alignment horizontal="left" vertical="center" indent="1"/>
    </xf>
    <xf numFmtId="0" fontId="29" fillId="4" borderId="0" applyAlignment="1" pivotButton="0" quotePrefix="0" xfId="0">
      <alignment horizontal="left" vertical="center" indent="1"/>
    </xf>
    <xf numFmtId="0" fontId="17" fillId="4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C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CCB8"/>
      <rgbColor rgb="FF808080"/>
      <rgbColor rgb="FF9999FF"/>
      <rgbColor rgb="FF6B4C9A"/>
      <rgbColor rgb="FFFFF8E7"/>
      <rgbColor rgb="FFDDEEFF"/>
      <rgbColor rgb="FF660066"/>
      <rgbColor rgb="FFFF8080"/>
      <rgbColor rgb="FF2A5FA5"/>
      <rgbColor rgb="FFEAE3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EC"/>
      <rgbColor rgb="FFF5F0E8"/>
      <rgbColor rgb="FFFFFF99"/>
      <rgbColor rgb="FFFDFCF9"/>
      <rgbColor rgb="FFFF99CC"/>
      <rgbColor rgb="FFCC99FF"/>
      <rgbColor rgb="FFFFEBEE"/>
      <rgbColor rgb="FF4477BB"/>
      <rgbColor rgb="FF33CCCC"/>
      <rgbColor rgb="FFAAAA00"/>
      <rgbColor rgb="FFFFCC00"/>
      <rgbColor rgb="FFC8923A"/>
      <rgbColor rgb="FFFF6600"/>
      <rgbColor rgb="FF6B6B5E"/>
      <rgbColor rgb="FF8A9E7A"/>
      <rgbColor rgb="FF003366"/>
      <rgbColor rgb="FF339966"/>
      <rgbColor rgb="FF003300"/>
      <rgbColor rgb="FF1F3320"/>
      <rgbColor rgb="FFA8401A"/>
      <rgbColor rgb="FF993366"/>
      <rgbColor rgb="FF3B4A2F"/>
      <rgbColor rgb="FF2A2A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Unknown Author</author>
  </authors>
  <commentList>
    <comment ref="B5" authorId="0" shapeId="0">
      <text>
        <t>Link: Budget_2026!P5</t>
      </text>
    </comment>
    <comment ref="C5" authorId="0" shapeId="0">
      <text>
        <t>Link: Forecast_Rolling!P5</t>
      </text>
    </comment>
    <comment ref="D5" authorId="0" shapeId="0">
      <text>
        <t>Link: Actuals_Input!P5</t>
      </text>
    </comment>
    <comment ref="B6" authorId="0" shapeId="0">
      <text>
        <t>Link: Budget_2026!P6</t>
      </text>
    </comment>
    <comment ref="C6" authorId="0" shapeId="0">
      <text>
        <t>Link: Forecast_Rolling!P6</t>
      </text>
    </comment>
    <comment ref="D6" authorId="0" shapeId="0">
      <text>
        <t>Link: Actuals_Input!P6</t>
      </text>
    </comment>
    <comment ref="B7" authorId="0" shapeId="0">
      <text>
        <t>Link: Budget_2026!P7</t>
      </text>
    </comment>
    <comment ref="C7" authorId="0" shapeId="0">
      <text>
        <t>Link: Forecast_Rolling!P7</t>
      </text>
    </comment>
    <comment ref="D7" authorId="0" shapeId="0">
      <text>
        <t>Link: Actuals_Input!P7</t>
      </text>
    </comment>
    <comment ref="B10" authorId="0" shapeId="0">
      <text>
        <t>Link: Budget_2026!P10</t>
      </text>
    </comment>
    <comment ref="C10" authorId="0" shapeId="0">
      <text>
        <t>Link: Forecast_Rolling!P10</t>
      </text>
    </comment>
    <comment ref="D10" authorId="0" shapeId="0">
      <text>
        <t>Link: Actuals_Input!P10</t>
      </text>
    </comment>
    <comment ref="B11" authorId="0" shapeId="0">
      <text>
        <t>Link: Budget_2026!P11</t>
      </text>
    </comment>
    <comment ref="C11" authorId="0" shapeId="0">
      <text>
        <t>Link: Forecast_Rolling!P11</t>
      </text>
    </comment>
    <comment ref="D11" authorId="0" shapeId="0">
      <text>
        <t>Link: Actuals_Input!P11</t>
      </text>
    </comment>
    <comment ref="B12" authorId="0" shapeId="0">
      <text>
        <t>Link: Budget_2026!P12</t>
      </text>
    </comment>
    <comment ref="C12" authorId="0" shapeId="0">
      <text>
        <t>Link: Forecast_Rolling!P12</t>
      </text>
    </comment>
    <comment ref="D12" authorId="0" shapeId="0">
      <text>
        <t>Link: Actuals_Input!P12</t>
      </text>
    </comment>
    <comment ref="B16" authorId="0" shapeId="0">
      <text>
        <t>Link: Budget_2026!P16</t>
      </text>
    </comment>
    <comment ref="C16" authorId="0" shapeId="0">
      <text>
        <t>Link: Forecast_Rolling!P16</t>
      </text>
    </comment>
    <comment ref="D16" authorId="0" shapeId="0">
      <text>
        <t>Link: Actuals_Input!P16</t>
      </text>
    </comment>
    <comment ref="B18" authorId="0" shapeId="0">
      <text>
        <t>Link: Budget_2026!P18</t>
      </text>
    </comment>
    <comment ref="C18" authorId="0" shapeId="0">
      <text>
        <t>Link: Forecast_Rolling!P18</t>
      </text>
    </comment>
    <comment ref="D18" authorId="0" shapeId="0">
      <text>
        <t>Link: Actuals_Input!P18</t>
      </text>
    </comment>
    <comment ref="B19" authorId="0" shapeId="0">
      <text>
        <t>Link: Budget_2026!P19</t>
      </text>
    </comment>
    <comment ref="C19" authorId="0" shapeId="0">
      <text>
        <t>Link: Forecast_Rolling!P19</t>
      </text>
    </comment>
    <comment ref="D19" authorId="0" shapeId="0">
      <text>
        <t>Link: Actuals_Input!P19</t>
      </text>
    </comment>
    <comment ref="B20" authorId="0" shapeId="0">
      <text>
        <t>Link: Budget_2026!P20</t>
      </text>
    </comment>
    <comment ref="C20" authorId="0" shapeId="0">
      <text>
        <t>Link: Forecast_Rolling!P20</t>
      </text>
    </comment>
    <comment ref="D20" authorId="0" shapeId="0">
      <text>
        <t>Link: Actuals_Input!P20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5" authorId="0" shapeId="0">
      <text>
        <t>Linked from ferncrest_ok-fc.xlsx → Report_Data by Python script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0">
    <tabColor rgb="FFC8923A"/>
    <outlinePr summaryBelow="1" summaryRight="1"/>
    <pageSetUpPr fitToPage="0"/>
  </sheetPr>
  <dimension ref="A1:N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8" customWidth="1" style="122" min="1" max="1"/>
    <col width="18" customWidth="1" style="122" min="2" max="2"/>
    <col width="10" customWidth="1" style="122" min="3" max="5"/>
    <col width="24" customWidth="1" style="122" min="6" max="6"/>
    <col width="10" customWidth="1" style="122" min="7" max="14"/>
  </cols>
  <sheetData>
    <row r="1" ht="27.75" customHeight="1" s="123">
      <c r="A1" s="124" t="inlineStr">
        <is>
          <t>FERNCREST — SYSTEM CONFIGURATION</t>
        </is>
      </c>
    </row>
    <row r="2" ht="7.5" customHeight="1" s="123"/>
    <row r="3" ht="15.75" customHeight="1" s="123">
      <c r="A3" s="125" t="inlineStr">
        <is>
          <t>PROPERTY SETTINGS</t>
        </is>
      </c>
      <c r="B3" s="126" t="n"/>
    </row>
    <row r="4" ht="15" customHeight="1" s="123">
      <c r="A4" s="127" t="inlineStr">
        <is>
          <t>Property Name</t>
        </is>
      </c>
      <c r="B4" s="128" t="inlineStr">
        <is>
          <t>Ferncrest Flint Creek</t>
        </is>
      </c>
    </row>
    <row r="5" ht="15" customHeight="1" s="123">
      <c r="A5" s="127" t="inlineStr">
        <is>
          <t>Property Code</t>
        </is>
      </c>
      <c r="B5" s="128" t="inlineStr">
        <is>
          <t>OK-FC</t>
        </is>
      </c>
    </row>
    <row r="6" ht="15" customHeight="1" s="123">
      <c r="A6" s="127" t="inlineStr">
        <is>
          <t>Location</t>
        </is>
      </c>
      <c r="B6" s="128" t="inlineStr">
        <is>
          <t>Colcord, Oklahoma</t>
        </is>
      </c>
    </row>
    <row r="7" ht="15" customHeight="1" s="123">
      <c r="A7" s="127" t="inlineStr">
        <is>
          <t>Total Units</t>
        </is>
      </c>
      <c r="B7" s="128" t="n">
        <v>12</v>
      </c>
    </row>
    <row r="8" ht="15" customHeight="1" s="123">
      <c r="A8" s="127" t="inlineStr">
        <is>
          <t>Fiscal Year</t>
        </is>
      </c>
      <c r="B8" s="128" t="n">
        <v>2026</v>
      </c>
    </row>
    <row r="9" ht="15" customHeight="1" s="123">
      <c r="A9" s="127" t="inlineStr">
        <is>
          <t>Currency</t>
        </is>
      </c>
      <c r="B9" s="128" t="inlineStr">
        <is>
          <t>USD</t>
        </is>
      </c>
    </row>
    <row r="10" ht="15" customHeight="1" s="123">
      <c r="A10" s="127" t="inlineStr">
        <is>
          <t>Reporting Timezone</t>
        </is>
      </c>
      <c r="B10" s="128" t="inlineStr">
        <is>
          <t>America/Chicago</t>
        </is>
      </c>
    </row>
    <row r="11" ht="12" customHeight="1" s="123"/>
    <row r="12" ht="15.75" customHeight="1" s="123">
      <c r="A12" s="125" t="inlineStr">
        <is>
          <t>UNIT TYPE DEFINITIONS</t>
        </is>
      </c>
      <c r="B12" s="126" t="n"/>
      <c r="C12" s="126" t="n"/>
      <c r="D12" s="126" t="n"/>
      <c r="E12" s="126" t="n"/>
      <c r="F12" s="126" t="n"/>
    </row>
    <row r="13" ht="30" customHeight="1" s="123">
      <c r="A13" s="129" t="inlineStr">
        <is>
          <t>Unit Type</t>
        </is>
      </c>
      <c r="B13" s="129" t="inlineStr">
        <is>
          <t>Code</t>
        </is>
      </c>
      <c r="C13" s="129" t="inlineStr">
        <is>
          <t>Count</t>
        </is>
      </c>
      <c r="D13" s="129" t="inlineStr">
        <is>
          <t>Base ADR</t>
        </is>
      </c>
      <c r="E13" s="129" t="inlineStr">
        <is>
          <t>Category</t>
        </is>
      </c>
      <c r="F13" s="129" t="inlineStr">
        <is>
          <t>Notes</t>
        </is>
      </c>
    </row>
    <row r="14" ht="15" customHeight="1" s="123">
      <c r="A14" s="130" t="inlineStr">
        <is>
          <t>King + HT (Creek)</t>
        </is>
      </c>
      <c r="B14" s="130" t="inlineStr">
        <is>
          <t>KHC</t>
        </is>
      </c>
      <c r="C14" s="131" t="n">
        <v>3</v>
      </c>
      <c r="D14" s="132" t="n">
        <v>250</v>
      </c>
      <c r="E14" s="130" t="inlineStr">
        <is>
          <t>Premium</t>
        </is>
      </c>
      <c r="F14" s="133" t="inlineStr">
        <is>
          <t>Hot tub creek view</t>
        </is>
      </c>
    </row>
    <row r="15" ht="15" customHeight="1" s="123">
      <c r="A15" s="134" t="inlineStr">
        <is>
          <t>King – Commons</t>
        </is>
      </c>
      <c r="B15" s="134" t="inlineStr">
        <is>
          <t>KC</t>
        </is>
      </c>
      <c r="C15" s="128" t="n">
        <v>3</v>
      </c>
      <c r="D15" s="135" t="n">
        <v>180</v>
      </c>
      <c r="E15" s="134" t="inlineStr">
        <is>
          <t>Standard</t>
        </is>
      </c>
      <c r="F15" s="136" t="inlineStr">
        <is>
          <t>Commons area access</t>
        </is>
      </c>
    </row>
    <row r="16" ht="15" customHeight="1" s="123">
      <c r="A16" s="130" t="inlineStr">
        <is>
          <t>Double Full</t>
        </is>
      </c>
      <c r="B16" s="130" t="inlineStr">
        <is>
          <t>DF</t>
        </is>
      </c>
      <c r="C16" s="131" t="n">
        <v>0</v>
      </c>
      <c r="D16" s="132" t="n">
        <v>240</v>
      </c>
      <c r="E16" s="130" t="inlineStr">
        <is>
          <t>Standard</t>
        </is>
      </c>
      <c r="F16" s="133" t="inlineStr">
        <is>
          <t>Currently inactive</t>
        </is>
      </c>
    </row>
    <row r="17" ht="15" customHeight="1" s="123">
      <c r="A17" s="134" t="inlineStr">
        <is>
          <t>Double Queen</t>
        </is>
      </c>
      <c r="B17" s="134" t="inlineStr">
        <is>
          <t>DQ</t>
        </is>
      </c>
      <c r="C17" s="128" t="n">
        <v>2</v>
      </c>
      <c r="D17" s="135" t="n">
        <v>200</v>
      </c>
      <c r="E17" s="134" t="inlineStr">
        <is>
          <t>Standard</t>
        </is>
      </c>
      <c r="F17" s="136" t="n"/>
    </row>
    <row r="18" ht="15" customHeight="1" s="123">
      <c r="A18" s="130" t="inlineStr">
        <is>
          <t>Family – Creek</t>
        </is>
      </c>
      <c r="B18" s="130" t="inlineStr">
        <is>
          <t>FC</t>
        </is>
      </c>
      <c r="C18" s="131" t="n">
        <v>2</v>
      </c>
      <c r="D18" s="132" t="n">
        <v>320</v>
      </c>
      <c r="E18" s="130" t="inlineStr">
        <is>
          <t>Premium</t>
        </is>
      </c>
      <c r="F18" s="133" t="inlineStr">
        <is>
          <t>Creek-side family</t>
        </is>
      </c>
    </row>
    <row r="19" ht="15" customHeight="1" s="123">
      <c r="A19" s="134" t="inlineStr">
        <is>
          <t>Family – Commons</t>
        </is>
      </c>
      <c r="B19" s="134" t="inlineStr">
        <is>
          <t>FCO</t>
        </is>
      </c>
      <c r="C19" s="128" t="n">
        <v>2</v>
      </c>
      <c r="D19" s="135" t="n">
        <v>220</v>
      </c>
      <c r="E19" s="134" t="inlineStr">
        <is>
          <t>Standard</t>
        </is>
      </c>
      <c r="F19" s="136" t="inlineStr">
        <is>
          <t>Commons family</t>
        </is>
      </c>
    </row>
    <row r="20" ht="15" customHeight="1" s="123">
      <c r="A20" s="130" t="inlineStr">
        <is>
          <t>Cabin</t>
        </is>
      </c>
      <c r="B20" s="130" t="inlineStr">
        <is>
          <t>CAB</t>
        </is>
      </c>
      <c r="C20" s="131" t="n">
        <v>0</v>
      </c>
      <c r="D20" s="132" t="n">
        <v>220</v>
      </c>
      <c r="E20" s="130" t="inlineStr">
        <is>
          <t>Standard</t>
        </is>
      </c>
      <c r="F20" s="133" t="inlineStr">
        <is>
          <t>Currently inactive</t>
        </is>
      </c>
    </row>
    <row r="21" ht="15" customHeight="1" s="123">
      <c r="A21" s="134" t="inlineStr">
        <is>
          <t>Dome Tent (base)</t>
        </is>
      </c>
      <c r="B21" s="134" t="inlineStr">
        <is>
          <t>DT</t>
        </is>
      </c>
      <c r="C21" s="128" t="n">
        <v>12</v>
      </c>
      <c r="D21" s="135" t="n">
        <v>233</v>
      </c>
      <c r="E21" s="134" t="inlineStr">
        <is>
          <t>Standard</t>
        </is>
      </c>
      <c r="F21" s="136" t="inlineStr">
        <is>
          <t>Blended rate from forecast</t>
        </is>
      </c>
    </row>
    <row r="22" ht="12" customHeight="1" s="123"/>
    <row r="23" ht="15.75" customHeight="1" s="123">
      <c r="A23" s="125" t="inlineStr">
        <is>
          <t>MONTHLY OCCUPANCY &amp; ADR ASSUMPTIONS (BUDGET 2026)</t>
        </is>
      </c>
      <c r="B23" s="126" t="n"/>
      <c r="C23" s="126" t="n"/>
      <c r="D23" s="126" t="n"/>
      <c r="E23" s="126" t="n"/>
      <c r="F23" s="126" t="n"/>
      <c r="G23" s="126" t="n"/>
      <c r="H23" s="126" t="n"/>
      <c r="I23" s="126" t="n"/>
      <c r="J23" s="126" t="n"/>
      <c r="K23" s="126" t="n"/>
      <c r="L23" s="126" t="n"/>
      <c r="M23" s="126" t="n"/>
      <c r="N23" s="126" t="n"/>
    </row>
    <row r="24" ht="30" customHeight="1" s="123">
      <c r="A24" s="129" t="inlineStr">
        <is>
          <t>Metric</t>
        </is>
      </c>
      <c r="B24" s="129" t="inlineStr">
        <is>
          <t>Jan</t>
        </is>
      </c>
      <c r="C24" s="129" t="inlineStr">
        <is>
          <t>Feb</t>
        </is>
      </c>
      <c r="D24" s="129" t="inlineStr">
        <is>
          <t>Mar</t>
        </is>
      </c>
      <c r="E24" s="129" t="inlineStr">
        <is>
          <t>Apr</t>
        </is>
      </c>
      <c r="F24" s="129" t="inlineStr">
        <is>
          <t>May</t>
        </is>
      </c>
      <c r="G24" s="129" t="inlineStr">
        <is>
          <t>Jun</t>
        </is>
      </c>
      <c r="H24" s="129" t="inlineStr">
        <is>
          <t>Jul</t>
        </is>
      </c>
      <c r="I24" s="129" t="inlineStr">
        <is>
          <t>Aug</t>
        </is>
      </c>
      <c r="J24" s="129" t="inlineStr">
        <is>
          <t>Sep</t>
        </is>
      </c>
      <c r="K24" s="129" t="inlineStr">
        <is>
          <t>Oct</t>
        </is>
      </c>
      <c r="L24" s="129" t="inlineStr">
        <is>
          <t>Nov</t>
        </is>
      </c>
      <c r="M24" s="129" t="inlineStr">
        <is>
          <t>Dec</t>
        </is>
      </c>
      <c r="N24" s="129" t="inlineStr">
        <is>
          <t>Annual Avg</t>
        </is>
      </c>
    </row>
    <row r="25" ht="15" customHeight="1" s="123">
      <c r="A25" s="127" t="inlineStr">
        <is>
          <t>Occupancy Rate – Budget</t>
        </is>
      </c>
      <c r="B25" s="137" t="n">
        <v>0.2</v>
      </c>
      <c r="C25" s="137" t="n">
        <v>0.2</v>
      </c>
      <c r="D25" s="137" t="n">
        <v>0.2</v>
      </c>
      <c r="E25" s="137" t="n">
        <v>0.2</v>
      </c>
      <c r="F25" s="137" t="n">
        <v>0.3</v>
      </c>
      <c r="G25" s="137" t="n">
        <v>0.3</v>
      </c>
      <c r="H25" s="137" t="n">
        <v>0.4</v>
      </c>
      <c r="I25" s="137" t="n">
        <v>0.55</v>
      </c>
      <c r="J25" s="137" t="n">
        <v>0.2</v>
      </c>
      <c r="K25" s="137" t="n">
        <v>0.5</v>
      </c>
      <c r="L25" s="137" t="n">
        <v>0.2</v>
      </c>
      <c r="M25" s="137" t="n">
        <v>0.1</v>
      </c>
      <c r="N25" s="138">
        <f>AVERAGE(B25:M25)</f>
        <v/>
      </c>
    </row>
    <row r="26" ht="15" customHeight="1" s="123">
      <c r="A26" s="127" t="inlineStr">
        <is>
          <t>Occupancy Rate – Forecast</t>
        </is>
      </c>
      <c r="B26" s="139" t="n">
        <v>0.2</v>
      </c>
      <c r="C26" s="139" t="n">
        <v>0.2</v>
      </c>
      <c r="D26" s="139" t="n">
        <v>0.2</v>
      </c>
      <c r="E26" s="139" t="n">
        <v>0.2</v>
      </c>
      <c r="F26" s="139" t="n">
        <v>0.3</v>
      </c>
      <c r="G26" s="139" t="n">
        <v>0.3</v>
      </c>
      <c r="H26" s="139" t="n">
        <v>0.4</v>
      </c>
      <c r="I26" s="139" t="n">
        <v>0.55</v>
      </c>
      <c r="J26" s="139" t="n">
        <v>0.2</v>
      </c>
      <c r="K26" s="139" t="n">
        <v>0.5</v>
      </c>
      <c r="L26" s="139" t="n">
        <v>0.2</v>
      </c>
      <c r="M26" s="139" t="n">
        <v>0.1</v>
      </c>
      <c r="N26" s="138">
        <f>AVERAGE(B26:M26)</f>
        <v/>
      </c>
    </row>
    <row r="27" ht="15" customHeight="1" s="123">
      <c r="A27" s="127" t="inlineStr">
        <is>
          <t>ADR – Budget ($)</t>
        </is>
      </c>
      <c r="B27" s="140" t="n">
        <v>233</v>
      </c>
      <c r="C27" s="140" t="n">
        <v>233</v>
      </c>
      <c r="D27" s="140" t="n">
        <v>233</v>
      </c>
      <c r="E27" s="140" t="n">
        <v>233</v>
      </c>
      <c r="F27" s="140" t="n">
        <v>233</v>
      </c>
      <c r="G27" s="140" t="n">
        <v>233</v>
      </c>
      <c r="H27" s="140" t="n">
        <v>233</v>
      </c>
      <c r="I27" s="140" t="n">
        <v>233</v>
      </c>
      <c r="J27" s="140" t="n">
        <v>233</v>
      </c>
      <c r="K27" s="140" t="n">
        <v>233</v>
      </c>
      <c r="L27" s="140" t="n">
        <v>233</v>
      </c>
      <c r="M27" s="140" t="n">
        <v>233</v>
      </c>
      <c r="N27" s="141">
        <f>AVERAGE(B27:M27)</f>
        <v/>
      </c>
    </row>
    <row r="28" ht="15" customHeight="1" s="123">
      <c r="A28" s="127" t="inlineStr">
        <is>
          <t>ADR – Forecast ($)</t>
        </is>
      </c>
      <c r="B28" s="142" t="n">
        <v>233</v>
      </c>
      <c r="C28" s="142" t="n">
        <v>233</v>
      </c>
      <c r="D28" s="142" t="n">
        <v>233</v>
      </c>
      <c r="E28" s="142" t="n">
        <v>233</v>
      </c>
      <c r="F28" s="142" t="n">
        <v>233</v>
      </c>
      <c r="G28" s="142" t="n">
        <v>233</v>
      </c>
      <c r="H28" s="142" t="n">
        <v>233</v>
      </c>
      <c r="I28" s="142" t="n">
        <v>233</v>
      </c>
      <c r="J28" s="142" t="n">
        <v>233</v>
      </c>
      <c r="K28" s="142" t="n">
        <v>233</v>
      </c>
      <c r="L28" s="142" t="n">
        <v>233</v>
      </c>
      <c r="M28" s="142" t="n">
        <v>233</v>
      </c>
      <c r="N28" s="141">
        <f>AVERAGE(B28:M28)</f>
        <v/>
      </c>
    </row>
  </sheetData>
  <mergeCells count="4">
    <mergeCell ref="A23:N23"/>
    <mergeCell ref="A3:B3"/>
    <mergeCell ref="A1:F1"/>
    <mergeCell ref="A12:F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3320"/>
    <outlinePr summaryBelow="1" summaryRight="1"/>
    <pageSetUpPr fitToPage="0"/>
  </sheetPr>
  <dimension ref="A1:Q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122" min="1" max="1"/>
    <col width="14" customWidth="1" style="122" min="2" max="2"/>
    <col width="8" customWidth="1" style="122" min="3" max="3"/>
    <col width="11" customWidth="1" style="122" min="4" max="15"/>
    <col width="13" customWidth="1" style="122" min="16" max="16"/>
  </cols>
  <sheetData>
    <row r="1" ht="27.75" customHeight="1" s="123">
      <c r="A1" s="124" t="inlineStr">
        <is>
          <t>FERNCREST FLINT CREEK — BUDGET 2026  |  LOCKED AT YEAR START</t>
        </is>
      </c>
    </row>
    <row r="2" ht="7.5" customHeight="1" s="123"/>
    <row r="3" ht="30" customHeight="1" s="123">
      <c r="A3" s="129" t="n"/>
      <c r="B3" s="129" t="inlineStr">
        <is>
          <t>Driver / Factor</t>
        </is>
      </c>
      <c r="C3" s="129" t="inlineStr">
        <is>
          <t>Units</t>
        </is>
      </c>
      <c r="D3" s="129" t="inlineStr">
        <is>
          <t>Jan</t>
        </is>
      </c>
      <c r="E3" s="129" t="inlineStr">
        <is>
          <t>Feb</t>
        </is>
      </c>
      <c r="F3" s="129" t="inlineStr">
        <is>
          <t>Mar</t>
        </is>
      </c>
      <c r="G3" s="129" t="inlineStr">
        <is>
          <t>Apr</t>
        </is>
      </c>
      <c r="H3" s="129" t="inlineStr">
        <is>
          <t>May</t>
        </is>
      </c>
      <c r="I3" s="129" t="inlineStr">
        <is>
          <t>Jun</t>
        </is>
      </c>
      <c r="J3" s="129" t="inlineStr">
        <is>
          <t>Jul</t>
        </is>
      </c>
      <c r="K3" s="129" t="inlineStr">
        <is>
          <t>Aug</t>
        </is>
      </c>
      <c r="L3" s="129" t="inlineStr">
        <is>
          <t>Sep</t>
        </is>
      </c>
      <c r="M3" s="129" t="inlineStr">
        <is>
          <t>Oct</t>
        </is>
      </c>
      <c r="N3" s="129" t="inlineStr">
        <is>
          <t>Nov</t>
        </is>
      </c>
      <c r="O3" s="129" t="inlineStr">
        <is>
          <t>Dec</t>
        </is>
      </c>
      <c r="P3" s="129" t="inlineStr">
        <is>
          <t>FY Total</t>
        </is>
      </c>
    </row>
    <row r="4" ht="15.75" customHeight="1" s="123">
      <c r="A4" s="125" t="inlineStr">
        <is>
          <t>── REVENUE</t>
        </is>
      </c>
      <c r="B4" s="126" t="n"/>
      <c r="C4" s="126" t="n"/>
      <c r="D4" s="126" t="n"/>
      <c r="E4" s="126" t="n"/>
      <c r="F4" s="126" t="n"/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</row>
    <row r="5" ht="15" customHeight="1" s="123">
      <c r="A5" s="143" t="inlineStr">
        <is>
          <t>Room Revenue (excl. tax)</t>
        </is>
      </c>
      <c r="B5" s="144" t="inlineStr">
        <is>
          <t>ADR $233 × Occ × Units</t>
        </is>
      </c>
      <c r="C5" s="145" t="n">
        <v>12</v>
      </c>
      <c r="D5" s="142" t="n">
        <v>17335</v>
      </c>
      <c r="E5" s="142" t="n">
        <v>15658</v>
      </c>
      <c r="F5" s="142" t="n">
        <v>17335</v>
      </c>
      <c r="G5" s="142" t="n">
        <v>16776</v>
      </c>
      <c r="H5" s="142" t="n">
        <v>26003</v>
      </c>
      <c r="I5" s="142" t="n">
        <v>25164</v>
      </c>
      <c r="J5" s="142" t="n">
        <v>34670</v>
      </c>
      <c r="K5" s="142" t="n">
        <v>47672</v>
      </c>
      <c r="L5" s="142" t="n">
        <v>16776</v>
      </c>
      <c r="M5" s="142" t="n">
        <v>43338</v>
      </c>
      <c r="N5" s="142" t="n">
        <v>16776</v>
      </c>
      <c r="O5" s="142" t="n">
        <v>8668</v>
      </c>
      <c r="P5" s="146">
        <f>SUM(D5:O5)</f>
        <v/>
      </c>
    </row>
    <row r="6" ht="15" customHeight="1" s="123">
      <c r="A6" s="143" t="inlineStr">
        <is>
          <t>Store Revenue</t>
        </is>
      </c>
      <c r="B6" s="144" t="inlineStr">
        <is>
          <t>~9% of Room Rev</t>
        </is>
      </c>
      <c r="C6" s="145" t="n"/>
      <c r="D6" s="142" t="n">
        <v>1577</v>
      </c>
      <c r="E6" s="142" t="n">
        <v>1425</v>
      </c>
      <c r="F6" s="142" t="n">
        <v>1577</v>
      </c>
      <c r="G6" s="142" t="n">
        <v>1527</v>
      </c>
      <c r="H6" s="142" t="n">
        <v>2366</v>
      </c>
      <c r="I6" s="142" t="n">
        <v>2290</v>
      </c>
      <c r="J6" s="142" t="n">
        <v>3155</v>
      </c>
      <c r="K6" s="142" t="n">
        <v>4338</v>
      </c>
      <c r="L6" s="142" t="n">
        <v>1527</v>
      </c>
      <c r="M6" s="142" t="n">
        <v>3944</v>
      </c>
      <c r="N6" s="142" t="n">
        <v>1527</v>
      </c>
      <c r="O6" s="142" t="n">
        <v>789</v>
      </c>
      <c r="P6" s="146">
        <f>SUM(D6:O6)</f>
        <v/>
      </c>
    </row>
    <row r="7" ht="15" customHeight="1" s="123">
      <c r="A7" s="143" t="inlineStr">
        <is>
          <t>Cost of Goods Sold</t>
        </is>
      </c>
      <c r="B7" s="144" t="inlineStr">
        <is>
          <t>40% of Store Rev</t>
        </is>
      </c>
      <c r="C7" s="145" t="n"/>
      <c r="D7" s="142" t="n">
        <v>-631</v>
      </c>
      <c r="E7" s="142" t="n">
        <v>-570</v>
      </c>
      <c r="F7" s="142" t="n">
        <v>-631</v>
      </c>
      <c r="G7" s="142" t="n">
        <v>-611</v>
      </c>
      <c r="H7" s="142" t="n">
        <v>-946</v>
      </c>
      <c r="I7" s="142" t="n">
        <v>-916</v>
      </c>
      <c r="J7" s="142" t="n">
        <v>-1262</v>
      </c>
      <c r="K7" s="142" t="n">
        <v>-1735</v>
      </c>
      <c r="L7" s="142" t="n">
        <v>-611</v>
      </c>
      <c r="M7" s="142" t="n">
        <v>-1578</v>
      </c>
      <c r="N7" s="142" t="n">
        <v>-611</v>
      </c>
      <c r="O7" s="142" t="n">
        <v>-316</v>
      </c>
      <c r="P7" s="146">
        <f>SUM(D7:O7)</f>
        <v/>
      </c>
    </row>
    <row r="8" ht="15" customHeight="1" s="123">
      <c r="A8" s="127" t="inlineStr">
        <is>
          <t>Gross Revenue</t>
        </is>
      </c>
      <c r="B8" s="147" t="n"/>
      <c r="C8" s="148" t="n"/>
      <c r="D8" s="149">
        <f>D5+D6</f>
        <v/>
      </c>
      <c r="E8" s="149">
        <f>E5+E6</f>
        <v/>
      </c>
      <c r="F8" s="149">
        <f>F5+F6</f>
        <v/>
      </c>
      <c r="G8" s="149">
        <f>G5+G6</f>
        <v/>
      </c>
      <c r="H8" s="149">
        <f>H5+H6</f>
        <v/>
      </c>
      <c r="I8" s="149">
        <f>I5+I6</f>
        <v/>
      </c>
      <c r="J8" s="149">
        <f>J5+J6</f>
        <v/>
      </c>
      <c r="K8" s="149">
        <f>K5+K6</f>
        <v/>
      </c>
      <c r="L8" s="149">
        <f>L5+L6</f>
        <v/>
      </c>
      <c r="M8" s="149">
        <f>M5+M6</f>
        <v/>
      </c>
      <c r="N8" s="149">
        <f>N5+N6</f>
        <v/>
      </c>
      <c r="O8" s="149">
        <f>O5+O6</f>
        <v/>
      </c>
      <c r="P8" s="150">
        <f>SUM(D8:O8)</f>
        <v/>
      </c>
    </row>
    <row r="9" ht="15" customHeight="1" s="123">
      <c r="A9" s="151" t="inlineStr">
        <is>
          <t>NET REVENUE</t>
        </is>
      </c>
      <c r="B9" s="152" t="n"/>
      <c r="C9" s="153" t="n"/>
      <c r="D9" s="154" t="n">
        <v>18281</v>
      </c>
      <c r="E9" s="154" t="n">
        <v>16513</v>
      </c>
      <c r="F9" s="154" t="n">
        <v>18281</v>
      </c>
      <c r="G9" s="154" t="n">
        <v>17692</v>
      </c>
      <c r="H9" s="154" t="n">
        <v>27423</v>
      </c>
      <c r="I9" s="154" t="n">
        <v>26538</v>
      </c>
      <c r="J9" s="154" t="n">
        <v>36563</v>
      </c>
      <c r="K9" s="154" t="n">
        <v>50275</v>
      </c>
      <c r="L9" s="154" t="n">
        <v>17692</v>
      </c>
      <c r="M9" s="154" t="n">
        <v>45704</v>
      </c>
      <c r="N9" s="154" t="n">
        <v>17692</v>
      </c>
      <c r="O9" s="154" t="n">
        <v>9141</v>
      </c>
      <c r="P9" s="154">
        <f>SUM(D9:O9)</f>
        <v/>
      </c>
    </row>
    <row r="10" ht="6" customHeight="1" s="123"/>
    <row r="11" ht="15.75" customHeight="1" s="123">
      <c r="A11" s="125" t="inlineStr">
        <is>
          <t>── OPERATING EXPENSES</t>
        </is>
      </c>
      <c r="B11" s="126" t="n"/>
      <c r="C11" s="126" t="n"/>
      <c r="D11" s="126" t="n"/>
      <c r="E11" s="126" t="n"/>
      <c r="F11" s="126" t="n"/>
      <c r="G11" s="126" t="n"/>
      <c r="H11" s="126" t="n"/>
      <c r="I11" s="126" t="n"/>
      <c r="J11" s="126" t="n"/>
      <c r="K11" s="126" t="n"/>
      <c r="L11" s="126" t="n"/>
      <c r="M11" s="126" t="n"/>
      <c r="N11" s="126" t="n"/>
      <c r="O11" s="126" t="n"/>
      <c r="P11" s="126" t="n"/>
    </row>
    <row r="12" ht="15" customHeight="1" s="123">
      <c r="A12" s="155" t="inlineStr">
        <is>
          <t>Variable Expenses</t>
        </is>
      </c>
      <c r="B12" s="144" t="inlineStr">
        <is>
          <t>44% of Net Rev</t>
        </is>
      </c>
      <c r="C12" s="145" t="n"/>
      <c r="D12" s="142" t="n">
        <v>8044</v>
      </c>
      <c r="E12" s="142" t="n">
        <v>7266</v>
      </c>
      <c r="F12" s="142" t="n">
        <v>8044</v>
      </c>
      <c r="G12" s="142" t="n">
        <v>7784</v>
      </c>
      <c r="H12" s="142" t="n">
        <v>12066</v>
      </c>
      <c r="I12" s="142" t="n">
        <v>11677</v>
      </c>
      <c r="J12" s="142" t="n">
        <v>16088</v>
      </c>
      <c r="K12" s="142" t="n">
        <v>22121</v>
      </c>
      <c r="L12" s="142" t="n">
        <v>7784</v>
      </c>
      <c r="M12" s="142" t="n">
        <v>20110</v>
      </c>
      <c r="N12" s="142" t="n">
        <v>7784</v>
      </c>
      <c r="O12" s="142" t="n">
        <v>4022</v>
      </c>
      <c r="P12" s="146">
        <f>SUM(D12:O12)</f>
        <v/>
      </c>
    </row>
    <row r="13" ht="15" customHeight="1" s="123">
      <c r="A13" s="155" t="inlineStr">
        <is>
          <t>Franchise Pass-throughs</t>
        </is>
      </c>
      <c r="B13" s="144" t="inlineStr">
        <is>
          <t>13.4% of Net Rev</t>
        </is>
      </c>
      <c r="C13" s="145" t="n"/>
      <c r="D13" s="142" t="n">
        <v>2450</v>
      </c>
      <c r="E13" s="142" t="n">
        <v>2213</v>
      </c>
      <c r="F13" s="142" t="n">
        <v>2450</v>
      </c>
      <c r="G13" s="142" t="n">
        <v>2371</v>
      </c>
      <c r="H13" s="142" t="n">
        <v>3675</v>
      </c>
      <c r="I13" s="142" t="n">
        <v>3556</v>
      </c>
      <c r="J13" s="142" t="n">
        <v>4899</v>
      </c>
      <c r="K13" s="142" t="n">
        <v>6737</v>
      </c>
      <c r="L13" s="142" t="n">
        <v>2371</v>
      </c>
      <c r="M13" s="142" t="n">
        <v>6124</v>
      </c>
      <c r="N13" s="142" t="n">
        <v>2371</v>
      </c>
      <c r="O13" s="142" t="n">
        <v>1225</v>
      </c>
      <c r="P13" s="146">
        <f>SUM(D13:O13)</f>
        <v/>
      </c>
    </row>
    <row r="14" ht="15" customHeight="1" s="123">
      <c r="A14" s="155" t="inlineStr">
        <is>
          <t>Franchise Fees</t>
        </is>
      </c>
      <c r="B14" s="144" t="inlineStr">
        <is>
          <t>14.8% of Net Rev</t>
        </is>
      </c>
      <c r="C14" s="145" t="n"/>
      <c r="D14" s="142" t="n">
        <v>2700</v>
      </c>
      <c r="E14" s="142" t="n">
        <v>2439</v>
      </c>
      <c r="F14" s="142" t="n">
        <v>2700</v>
      </c>
      <c r="G14" s="142" t="n">
        <v>2613</v>
      </c>
      <c r="H14" s="142" t="n">
        <v>4050</v>
      </c>
      <c r="I14" s="142" t="n">
        <v>3920</v>
      </c>
      <c r="J14" s="142" t="n">
        <v>5400</v>
      </c>
      <c r="K14" s="142" t="n">
        <v>7426</v>
      </c>
      <c r="L14" s="142" t="n">
        <v>2613</v>
      </c>
      <c r="M14" s="142" t="n">
        <v>6750</v>
      </c>
      <c r="N14" s="142" t="n">
        <v>2613</v>
      </c>
      <c r="O14" s="142" t="n">
        <v>1350</v>
      </c>
      <c r="P14" s="146">
        <f>SUM(D14:O14)</f>
        <v/>
      </c>
    </row>
    <row r="15" ht="15" customHeight="1" s="123">
      <c r="A15" s="151" t="inlineStr">
        <is>
          <t>TOTAL OPERATING EXPENSES</t>
        </is>
      </c>
      <c r="B15" s="152" t="n"/>
      <c r="C15" s="153" t="n"/>
      <c r="D15" s="154">
        <f>D12+D13+D14</f>
        <v/>
      </c>
      <c r="E15" s="154">
        <f>E12+E13+E14</f>
        <v/>
      </c>
      <c r="F15" s="154">
        <f>F12+F13+F14</f>
        <v/>
      </c>
      <c r="G15" s="154">
        <f>G12+G13+G14</f>
        <v/>
      </c>
      <c r="H15" s="154">
        <f>H12+H13+H14</f>
        <v/>
      </c>
      <c r="I15" s="154">
        <f>I12+I13+I14</f>
        <v/>
      </c>
      <c r="J15" s="154">
        <f>J12+J13+J14</f>
        <v/>
      </c>
      <c r="K15" s="154">
        <f>K12+K13+K14</f>
        <v/>
      </c>
      <c r="L15" s="154">
        <f>L12+L13+L14</f>
        <v/>
      </c>
      <c r="M15" s="154">
        <f>M12+M13+M14</f>
        <v/>
      </c>
      <c r="N15" s="154">
        <f>N12+N13+N14</f>
        <v/>
      </c>
      <c r="O15" s="154">
        <f>O12+O13+O14</f>
        <v/>
      </c>
      <c r="P15" s="154">
        <f>SUM(D15:O15)</f>
        <v/>
      </c>
    </row>
    <row r="16" ht="6" customHeight="1" s="123"/>
    <row r="17" ht="15" customHeight="1" s="123">
      <c r="A17" s="151" t="inlineStr">
        <is>
          <t>NET OPERATING INCOME (NOI)</t>
        </is>
      </c>
      <c r="B17" s="152" t="n"/>
      <c r="C17" s="153" t="n"/>
      <c r="D17" s="154">
        <f>D12-D16</f>
        <v/>
      </c>
      <c r="E17" s="154">
        <f>E12-E16</f>
        <v/>
      </c>
      <c r="F17" s="154">
        <f>F12-F16</f>
        <v/>
      </c>
      <c r="G17" s="154">
        <f>G12-G16</f>
        <v/>
      </c>
      <c r="H17" s="154">
        <f>H12-H16</f>
        <v/>
      </c>
      <c r="I17" s="154">
        <f>I12-I16</f>
        <v/>
      </c>
      <c r="J17" s="154">
        <f>J12-J16</f>
        <v/>
      </c>
      <c r="K17" s="154">
        <f>K12-K16</f>
        <v/>
      </c>
      <c r="L17" s="154">
        <f>L12-L16</f>
        <v/>
      </c>
      <c r="M17" s="154">
        <f>M12-M16</f>
        <v/>
      </c>
      <c r="N17" s="154">
        <f>N12-N16</f>
        <v/>
      </c>
      <c r="O17" s="154">
        <f>O12-O16</f>
        <v/>
      </c>
      <c r="P17" s="154">
        <f>SUM(D17:O17)</f>
        <v/>
      </c>
    </row>
    <row r="18" ht="6" customHeight="1" s="123"/>
    <row r="19" ht="15.75" customHeight="1" s="123">
      <c r="A19" s="125" t="inlineStr">
        <is>
          <t>── BELOW THE LINE</t>
        </is>
      </c>
      <c r="B19" s="126" t="n"/>
      <c r="C19" s="126" t="n"/>
      <c r="D19" s="126" t="n"/>
      <c r="E19" s="126" t="n"/>
      <c r="F19" s="126" t="n"/>
      <c r="G19" s="126" t="n"/>
      <c r="H19" s="126" t="n"/>
      <c r="I19" s="126" t="n"/>
      <c r="J19" s="126" t="n"/>
      <c r="K19" s="126" t="n"/>
      <c r="L19" s="126" t="n"/>
      <c r="M19" s="126" t="n"/>
      <c r="N19" s="126" t="n"/>
      <c r="O19" s="126" t="n"/>
      <c r="P19" s="126" t="n"/>
    </row>
    <row r="20" ht="15" customHeight="1" s="123">
      <c r="A20" s="155" t="inlineStr">
        <is>
          <t>Depreciation</t>
        </is>
      </c>
      <c r="B20" s="144" t="inlineStr">
        <is>
          <t>~4.7% of Net Rev</t>
        </is>
      </c>
      <c r="C20" s="145" t="n"/>
      <c r="D20" s="142" t="n">
        <v>859</v>
      </c>
      <c r="E20" s="142" t="n">
        <v>776</v>
      </c>
      <c r="F20" s="142" t="n">
        <v>859</v>
      </c>
      <c r="G20" s="142" t="n">
        <v>832</v>
      </c>
      <c r="H20" s="142" t="n">
        <v>1289</v>
      </c>
      <c r="I20" s="142" t="n">
        <v>1247</v>
      </c>
      <c r="J20" s="142" t="n">
        <v>1718</v>
      </c>
      <c r="K20" s="142" t="n">
        <v>2363</v>
      </c>
      <c r="L20" s="142" t="n">
        <v>832</v>
      </c>
      <c r="M20" s="142" t="n">
        <v>2148</v>
      </c>
      <c r="N20" s="142" t="n">
        <v>832</v>
      </c>
      <c r="O20" s="142" t="n">
        <v>430</v>
      </c>
      <c r="P20" s="146">
        <f>SUM(D20:O20)</f>
        <v/>
      </c>
    </row>
    <row r="21" ht="15" customHeight="1" s="123">
      <c r="A21" s="155" t="inlineStr">
        <is>
          <t>Income Tax Provision</t>
        </is>
      </c>
      <c r="B21" s="144" t="inlineStr">
        <is>
          <t>~6.5% of Net Rev</t>
        </is>
      </c>
      <c r="C21" s="145" t="n"/>
      <c r="D21" s="142" t="n">
        <v>1188</v>
      </c>
      <c r="E21" s="142" t="n">
        <v>1073</v>
      </c>
      <c r="F21" s="142" t="n">
        <v>1188</v>
      </c>
      <c r="G21" s="142" t="n">
        <v>1150</v>
      </c>
      <c r="H21" s="142" t="n">
        <v>1782</v>
      </c>
      <c r="I21" s="142" t="n">
        <v>1725</v>
      </c>
      <c r="J21" s="142" t="n">
        <v>2377</v>
      </c>
      <c r="K21" s="142" t="n">
        <v>3268</v>
      </c>
      <c r="L21" s="142" t="n">
        <v>1150</v>
      </c>
      <c r="M21" s="142" t="n">
        <v>2971</v>
      </c>
      <c r="N21" s="142" t="n">
        <v>1150</v>
      </c>
      <c r="O21" s="142" t="n">
        <v>594</v>
      </c>
      <c r="P21" s="146">
        <f>SUM(D21:O21)</f>
        <v/>
      </c>
    </row>
    <row r="22" ht="15" customHeight="1" s="123">
      <c r="A22" s="151" t="inlineStr">
        <is>
          <t>NET PROFIT BEFORE DEBT SERVICE</t>
        </is>
      </c>
      <c r="B22" s="152" t="n"/>
      <c r="C22" s="153" t="n"/>
      <c r="D22" s="154">
        <f>D18-D20-D21</f>
        <v/>
      </c>
      <c r="E22" s="154">
        <f>E18-E20-E21</f>
        <v/>
      </c>
      <c r="F22" s="154">
        <f>F18-F20-F21</f>
        <v/>
      </c>
      <c r="G22" s="154">
        <f>G18-G20-G21</f>
        <v/>
      </c>
      <c r="H22" s="154">
        <f>H18-H20-H21</f>
        <v/>
      </c>
      <c r="I22" s="154">
        <f>I18-I20-I21</f>
        <v/>
      </c>
      <c r="J22" s="154">
        <f>J18-J20-J21</f>
        <v/>
      </c>
      <c r="K22" s="154">
        <f>K18-K20-K21</f>
        <v/>
      </c>
      <c r="L22" s="154">
        <f>L18-L20-L21</f>
        <v/>
      </c>
      <c r="M22" s="154">
        <f>M18-M20-M21</f>
        <v/>
      </c>
      <c r="N22" s="154">
        <f>N18-N20-N21</f>
        <v/>
      </c>
      <c r="O22" s="154">
        <f>O18-O20-O21</f>
        <v/>
      </c>
      <c r="P22" s="154">
        <f>SUM(D22:O22)</f>
        <v/>
      </c>
    </row>
    <row r="23" ht="9.75" customHeight="1" s="123"/>
    <row r="24" ht="15.75" customHeight="1" s="123">
      <c r="A24" s="125" t="inlineStr">
        <is>
          <t>── KEY PERFORMANCE METRICS (BUDGET)</t>
        </is>
      </c>
      <c r="B24" s="126" t="n"/>
      <c r="C24" s="126" t="n"/>
      <c r="D24" s="126" t="n"/>
      <c r="E24" s="126" t="n"/>
      <c r="F24" s="126" t="n"/>
      <c r="G24" s="126" t="n"/>
      <c r="H24" s="126" t="n"/>
      <c r="I24" s="126" t="n"/>
      <c r="J24" s="126" t="n"/>
      <c r="K24" s="126" t="n"/>
      <c r="L24" s="126" t="n"/>
      <c r="M24" s="126" t="n"/>
      <c r="N24" s="126" t="n"/>
      <c r="O24" s="126" t="n"/>
      <c r="P24" s="126" t="n"/>
    </row>
    <row r="25" ht="19.5" customHeight="1" s="123">
      <c r="A25" s="129" t="inlineStr">
        <is>
          <t>Metric</t>
        </is>
      </c>
      <c r="B25" s="129" t="n"/>
      <c r="C25" s="129" t="n"/>
      <c r="D25" s="129" t="inlineStr">
        <is>
          <t>Jan</t>
        </is>
      </c>
      <c r="E25" s="129" t="inlineStr">
        <is>
          <t>Feb</t>
        </is>
      </c>
      <c r="F25" s="129" t="inlineStr">
        <is>
          <t>Mar</t>
        </is>
      </c>
      <c r="G25" s="129" t="inlineStr">
        <is>
          <t>Apr</t>
        </is>
      </c>
      <c r="H25" s="129" t="inlineStr">
        <is>
          <t>May</t>
        </is>
      </c>
      <c r="I25" s="129" t="inlineStr">
        <is>
          <t>Jun</t>
        </is>
      </c>
      <c r="J25" s="129" t="inlineStr">
        <is>
          <t>Jul</t>
        </is>
      </c>
      <c r="K25" s="129" t="inlineStr">
        <is>
          <t>Aug</t>
        </is>
      </c>
      <c r="L25" s="129" t="inlineStr">
        <is>
          <t>Sep</t>
        </is>
      </c>
      <c r="M25" s="129" t="inlineStr">
        <is>
          <t>Oct</t>
        </is>
      </c>
      <c r="N25" s="129" t="inlineStr">
        <is>
          <t>Nov</t>
        </is>
      </c>
      <c r="O25" s="129" t="inlineStr">
        <is>
          <t>Dec</t>
        </is>
      </c>
      <c r="P25" s="129" t="inlineStr">
        <is>
          <t>FY Total/Avg</t>
        </is>
      </c>
    </row>
    <row r="26" ht="15" customHeight="1" s="123">
      <c r="A26" s="143" t="inlineStr">
        <is>
          <t>Available Tent Nights</t>
        </is>
      </c>
      <c r="B26" s="144" t="n"/>
      <c r="C26" s="145" t="n"/>
      <c r="D26" s="156" t="n">
        <v>372</v>
      </c>
      <c r="E26" s="156" t="n">
        <v>336</v>
      </c>
      <c r="F26" s="156" t="n">
        <v>372</v>
      </c>
      <c r="G26" s="156" t="n">
        <v>360</v>
      </c>
      <c r="H26" s="156" t="n">
        <v>372</v>
      </c>
      <c r="I26" s="156" t="n">
        <v>360</v>
      </c>
      <c r="J26" s="156" t="n">
        <v>372</v>
      </c>
      <c r="K26" s="156" t="n">
        <v>372</v>
      </c>
      <c r="L26" s="156" t="n">
        <v>360</v>
      </c>
      <c r="M26" s="156" t="n">
        <v>372</v>
      </c>
      <c r="N26" s="156" t="n">
        <v>360</v>
      </c>
      <c r="O26" s="156" t="n">
        <v>372</v>
      </c>
      <c r="P26" s="157">
        <f>SUM(D26:O26)</f>
        <v/>
      </c>
    </row>
    <row r="27" ht="15" customHeight="1" s="123">
      <c r="A27" s="143" t="inlineStr">
        <is>
          <t>Occupied Tent Nights</t>
        </is>
      </c>
      <c r="B27" s="144" t="n"/>
      <c r="C27" s="145" t="n"/>
      <c r="D27" s="156" t="n">
        <v>74</v>
      </c>
      <c r="E27" s="156" t="n">
        <v>67</v>
      </c>
      <c r="F27" s="156" t="n">
        <v>74</v>
      </c>
      <c r="G27" s="156" t="n">
        <v>72</v>
      </c>
      <c r="H27" s="156" t="n">
        <v>112</v>
      </c>
      <c r="I27" s="156" t="n">
        <v>108</v>
      </c>
      <c r="J27" s="156" t="n">
        <v>149</v>
      </c>
      <c r="K27" s="156" t="n">
        <v>205</v>
      </c>
      <c r="L27" s="156" t="n">
        <v>72</v>
      </c>
      <c r="M27" s="156" t="n">
        <v>186</v>
      </c>
      <c r="N27" s="156" t="n">
        <v>72</v>
      </c>
      <c r="O27" s="156" t="n">
        <v>37</v>
      </c>
      <c r="P27" s="157">
        <f>SUM(D27:O27)</f>
        <v/>
      </c>
    </row>
    <row r="28" ht="15" customHeight="1" s="123">
      <c r="A28" s="127" t="inlineStr">
        <is>
          <t>Occupancy Rate</t>
        </is>
      </c>
      <c r="B28" s="147" t="n"/>
      <c r="C28" s="148" t="n"/>
      <c r="D28" s="158" t="n">
        <v>0.2</v>
      </c>
      <c r="E28" s="158" t="n">
        <v>0.2</v>
      </c>
      <c r="F28" s="158" t="n">
        <v>0.2</v>
      </c>
      <c r="G28" s="158" t="n">
        <v>0.2</v>
      </c>
      <c r="H28" s="158" t="n">
        <v>0.3</v>
      </c>
      <c r="I28" s="158" t="n">
        <v>0.3</v>
      </c>
      <c r="J28" s="158" t="n">
        <v>0.4</v>
      </c>
      <c r="K28" s="158" t="n">
        <v>0.55</v>
      </c>
      <c r="L28" s="158" t="n">
        <v>0.2</v>
      </c>
      <c r="M28" s="158" t="n">
        <v>0.5</v>
      </c>
      <c r="N28" s="158" t="n">
        <v>0.2</v>
      </c>
      <c r="O28" s="158" t="n">
        <v>0.1</v>
      </c>
      <c r="P28" s="159">
        <f>SUM(D28:O28)</f>
        <v/>
      </c>
    </row>
    <row r="29" ht="15" customHeight="1" s="123">
      <c r="A29" s="127" t="inlineStr">
        <is>
          <t>Average Daily Rate (ADR)</t>
        </is>
      </c>
      <c r="B29" s="147" t="n"/>
      <c r="C29" s="148" t="n"/>
      <c r="D29" s="149" t="n">
        <v>233</v>
      </c>
      <c r="E29" s="149" t="n">
        <v>233</v>
      </c>
      <c r="F29" s="149" t="n">
        <v>233</v>
      </c>
      <c r="G29" s="149" t="n">
        <v>233</v>
      </c>
      <c r="H29" s="149" t="n">
        <v>233</v>
      </c>
      <c r="I29" s="149" t="n">
        <v>233</v>
      </c>
      <c r="J29" s="149" t="n">
        <v>233</v>
      </c>
      <c r="K29" s="149" t="n">
        <v>233</v>
      </c>
      <c r="L29" s="149" t="n">
        <v>233</v>
      </c>
      <c r="M29" s="149" t="n">
        <v>233</v>
      </c>
      <c r="N29" s="149" t="n">
        <v>233</v>
      </c>
      <c r="O29" s="149" t="n">
        <v>233</v>
      </c>
      <c r="P29" s="150">
        <f>SUM(D29:O29)</f>
        <v/>
      </c>
    </row>
    <row r="30" ht="15" customHeight="1" s="123">
      <c r="A30" s="127" t="inlineStr">
        <is>
          <t>RevPAR</t>
        </is>
      </c>
      <c r="B30" s="147" t="n"/>
      <c r="C30" s="148" t="n"/>
      <c r="D30" s="160" t="n">
        <v>46.6</v>
      </c>
      <c r="E30" s="160" t="n">
        <v>46.6</v>
      </c>
      <c r="F30" s="160" t="n">
        <v>46.6</v>
      </c>
      <c r="G30" s="160" t="n">
        <v>46.6</v>
      </c>
      <c r="H30" s="160" t="n">
        <v>69.90000000000001</v>
      </c>
      <c r="I30" s="160" t="n">
        <v>69.90000000000001</v>
      </c>
      <c r="J30" s="160" t="n">
        <v>93.2</v>
      </c>
      <c r="K30" s="160" t="n">
        <v>128.15</v>
      </c>
      <c r="L30" s="160" t="n">
        <v>46.6</v>
      </c>
      <c r="M30" s="160" t="n">
        <v>116.5</v>
      </c>
      <c r="N30" s="160" t="n">
        <v>46.6</v>
      </c>
      <c r="O30" s="160" t="n">
        <v>23.3</v>
      </c>
      <c r="P30" s="161">
        <f>SUM(D30:O30)</f>
        <v/>
      </c>
    </row>
    <row r="31" ht="15" customHeight="1" s="123">
      <c r="A31" s="127" t="inlineStr">
        <is>
          <t>NOI Margin %</t>
        </is>
      </c>
      <c r="B31" s="147" t="n"/>
      <c r="C31" s="148" t="n"/>
      <c r="D31" s="158" t="n">
        <v>0.27826705322466</v>
      </c>
      <c r="E31" s="158" t="n">
        <v>0.278265608914189</v>
      </c>
      <c r="F31" s="158" t="n">
        <v>0.27826705322466</v>
      </c>
      <c r="G31" s="158" t="n">
        <v>0.278317883789283</v>
      </c>
      <c r="H31" s="158" t="n">
        <v>0.278306531014112</v>
      </c>
      <c r="I31" s="158" t="n">
        <v>0.278280201974527</v>
      </c>
      <c r="J31" s="158" t="n">
        <v>0.278314142712578</v>
      </c>
      <c r="K31" s="158" t="n">
        <v>0.2782894082546</v>
      </c>
      <c r="L31" s="158" t="n">
        <v>0.278317883789283</v>
      </c>
      <c r="M31" s="158" t="n">
        <v>0.278312620339576</v>
      </c>
      <c r="N31" s="158" t="n">
        <v>0.278317883789283</v>
      </c>
      <c r="O31" s="158" t="n">
        <v>0.278306531014112</v>
      </c>
      <c r="P31" s="159">
        <f>SUM(D31:O31)</f>
        <v/>
      </c>
    </row>
  </sheetData>
  <mergeCells count="5">
    <mergeCell ref="A11:P11"/>
    <mergeCell ref="A4:P4"/>
    <mergeCell ref="A1:Q1"/>
    <mergeCell ref="A24:P24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3B4A2F"/>
    <outlinePr summaryBelow="1" summaryRight="1"/>
    <pageSetUpPr fitToPage="0"/>
  </sheetPr>
  <dimension ref="A1:Q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122" min="1" max="1"/>
    <col width="14" customWidth="1" style="122" min="2" max="2"/>
    <col width="8" customWidth="1" style="122" min="3" max="3"/>
    <col width="11" customWidth="1" style="122" min="4" max="15"/>
    <col width="13" customWidth="1" style="122" min="16" max="16"/>
  </cols>
  <sheetData>
    <row r="1" ht="27.75" customHeight="1" s="123">
      <c r="A1" s="124" t="inlineStr">
        <is>
          <t>FERNCREST FLINT CREEK — ROLLING FORECAST 2026  |  UPDATE MONTHLY</t>
        </is>
      </c>
    </row>
    <row r="2" ht="7.5" customHeight="1" s="123"/>
    <row r="3" ht="30" customHeight="1" s="123">
      <c r="A3" s="129" t="n"/>
      <c r="B3" s="129" t="inlineStr">
        <is>
          <t>Driver</t>
        </is>
      </c>
      <c r="C3" s="129" t="inlineStr">
        <is>
          <t>Units</t>
        </is>
      </c>
      <c r="D3" s="129" t="inlineStr">
        <is>
          <t>Jan</t>
        </is>
      </c>
      <c r="E3" s="129" t="inlineStr">
        <is>
          <t>Feb</t>
        </is>
      </c>
      <c r="F3" s="129" t="inlineStr">
        <is>
          <t>Mar</t>
        </is>
      </c>
      <c r="G3" s="129" t="inlineStr">
        <is>
          <t>Apr</t>
        </is>
      </c>
      <c r="H3" s="129" t="inlineStr">
        <is>
          <t>May</t>
        </is>
      </c>
      <c r="I3" s="129" t="inlineStr">
        <is>
          <t>Jun</t>
        </is>
      </c>
      <c r="J3" s="129" t="inlineStr">
        <is>
          <t>Jul</t>
        </is>
      </c>
      <c r="K3" s="129" t="inlineStr">
        <is>
          <t>Aug</t>
        </is>
      </c>
      <c r="L3" s="129" t="inlineStr">
        <is>
          <t>Sep</t>
        </is>
      </c>
      <c r="M3" s="129" t="inlineStr">
        <is>
          <t>Oct</t>
        </is>
      </c>
      <c r="N3" s="129" t="inlineStr">
        <is>
          <t>Nov</t>
        </is>
      </c>
      <c r="O3" s="129" t="inlineStr">
        <is>
          <t>Dec</t>
        </is>
      </c>
      <c r="P3" s="129" t="inlineStr">
        <is>
          <t>FY Total</t>
        </is>
      </c>
    </row>
    <row r="4" ht="13.5" customHeight="1" s="123">
      <c r="A4" s="162" t="inlineStr">
        <is>
          <t>⬛ = Month closed (actuals loaded)   ⬜ = Future month (forecast)   Update occupancy &amp; ADR in yellow cells as each month closes.</t>
        </is>
      </c>
    </row>
    <row r="5" ht="15.75" customHeight="1" s="123">
      <c r="A5" s="125" t="inlineStr">
        <is>
          <t>── OCCUPANCY &amp; RATE ASSUMPTIONS (update each month)</t>
        </is>
      </c>
      <c r="B5" s="126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</row>
    <row r="6" ht="15" customHeight="1" s="123">
      <c r="A6" s="127" t="inlineStr">
        <is>
          <t>Occupancy Rate – Forecast</t>
        </is>
      </c>
      <c r="D6" s="163" t="n">
        <v>0.2</v>
      </c>
      <c r="E6" s="163" t="n">
        <v>0.2</v>
      </c>
      <c r="F6" s="163" t="n">
        <v>0.2</v>
      </c>
      <c r="G6" s="163" t="n">
        <v>0.2</v>
      </c>
      <c r="H6" s="163" t="n">
        <v>0.3</v>
      </c>
      <c r="I6" s="163" t="n">
        <v>0.3</v>
      </c>
      <c r="J6" s="163" t="n">
        <v>0.4</v>
      </c>
      <c r="K6" s="163" t="n">
        <v>0.55</v>
      </c>
      <c r="L6" s="163" t="n">
        <v>0.2</v>
      </c>
      <c r="M6" s="163" t="n">
        <v>0.5</v>
      </c>
      <c r="N6" s="163" t="n">
        <v>0.2</v>
      </c>
      <c r="O6" s="163" t="n">
        <v>0.1</v>
      </c>
      <c r="P6" s="138">
        <f>AVERAGE(D6:O6)</f>
        <v/>
      </c>
    </row>
    <row r="7" ht="15" customHeight="1" s="123">
      <c r="A7" s="127" t="inlineStr">
        <is>
          <t>ADR – Forecast ($)</t>
        </is>
      </c>
      <c r="D7" s="164" t="n">
        <v>233</v>
      </c>
      <c r="E7" s="164" t="n">
        <v>233</v>
      </c>
      <c r="F7" s="164" t="n">
        <v>233</v>
      </c>
      <c r="G7" s="164" t="n">
        <v>233</v>
      </c>
      <c r="H7" s="164" t="n">
        <v>233</v>
      </c>
      <c r="I7" s="164" t="n">
        <v>233</v>
      </c>
      <c r="J7" s="164" t="n">
        <v>233</v>
      </c>
      <c r="K7" s="164" t="n">
        <v>233</v>
      </c>
      <c r="L7" s="164" t="n">
        <v>233</v>
      </c>
      <c r="M7" s="164" t="n">
        <v>233</v>
      </c>
      <c r="N7" s="164" t="n">
        <v>233</v>
      </c>
      <c r="O7" s="164" t="n">
        <v>233</v>
      </c>
      <c r="P7" s="141">
        <f>AVERAGE(D7:O7)</f>
        <v/>
      </c>
    </row>
    <row r="8" ht="6" customHeight="1" s="123"/>
    <row r="9" ht="15.75" customHeight="1" s="123">
      <c r="A9" s="125" t="inlineStr">
        <is>
          <t>── REVENUE</t>
        </is>
      </c>
      <c r="B9" s="126" t="n"/>
      <c r="C9" s="126" t="n"/>
      <c r="D9" s="126" t="n"/>
      <c r="E9" s="126" t="n"/>
      <c r="F9" s="126" t="n"/>
      <c r="G9" s="126" t="n"/>
      <c r="H9" s="126" t="n"/>
      <c r="I9" s="126" t="n"/>
      <c r="J9" s="126" t="n"/>
      <c r="K9" s="126" t="n"/>
      <c r="L9" s="126" t="n"/>
      <c r="M9" s="126" t="n"/>
      <c r="N9" s="126" t="n"/>
      <c r="O9" s="126" t="n"/>
      <c r="P9" s="126" t="n"/>
    </row>
    <row r="10" ht="15" customHeight="1" s="123">
      <c r="A10" s="143" t="inlineStr">
        <is>
          <t>Room Revenue (excl. tax)</t>
        </is>
      </c>
      <c r="B10" s="165" t="inlineStr">
        <is>
          <t>ADR×Units×Occ×Days</t>
        </is>
      </c>
      <c r="C10" s="166" t="n">
        <v>12</v>
      </c>
      <c r="D10" s="167">
        <f>D7*12*D6*31</f>
        <v/>
      </c>
      <c r="E10" s="167">
        <f>E7*12*E6*28</f>
        <v/>
      </c>
      <c r="F10" s="167">
        <f>F7*12*F6*31</f>
        <v/>
      </c>
      <c r="G10" s="167">
        <f>G7*12*G6*30</f>
        <v/>
      </c>
      <c r="H10" s="167">
        <f>H7*12*H6*31</f>
        <v/>
      </c>
      <c r="I10" s="167">
        <f>I7*12*I6*30</f>
        <v/>
      </c>
      <c r="J10" s="167">
        <f>J7*12*J6*31</f>
        <v/>
      </c>
      <c r="K10" s="167">
        <f>K7*12*K6*31</f>
        <v/>
      </c>
      <c r="L10" s="167">
        <f>L7*12*L6*30</f>
        <v/>
      </c>
      <c r="M10" s="167">
        <f>M7*12*M6*31</f>
        <v/>
      </c>
      <c r="N10" s="167">
        <f>N7*12*N6*30</f>
        <v/>
      </c>
      <c r="O10" s="167">
        <f>O7*12*O6*31</f>
        <v/>
      </c>
      <c r="P10" s="146">
        <f>SUM(D10:O10)</f>
        <v/>
      </c>
    </row>
    <row r="11" ht="15" customHeight="1" s="123">
      <c r="A11" s="143" t="inlineStr">
        <is>
          <t>Store Revenue</t>
        </is>
      </c>
      <c r="D11" s="167">
        <f>D10*0.091</f>
        <v/>
      </c>
      <c r="E11" s="167">
        <f>E10*0.091</f>
        <v/>
      </c>
      <c r="F11" s="167">
        <f>F10*0.091</f>
        <v/>
      </c>
      <c r="G11" s="167">
        <f>G10*0.091</f>
        <v/>
      </c>
      <c r="H11" s="167">
        <f>H10*0.091</f>
        <v/>
      </c>
      <c r="I11" s="167">
        <f>I10*0.091</f>
        <v/>
      </c>
      <c r="J11" s="167">
        <f>J10*0.091</f>
        <v/>
      </c>
      <c r="K11" s="167">
        <f>K10*0.091</f>
        <v/>
      </c>
      <c r="L11" s="167">
        <f>L10*0.091</f>
        <v/>
      </c>
      <c r="M11" s="167">
        <f>M10*0.091</f>
        <v/>
      </c>
      <c r="N11" s="167">
        <f>N10*0.091</f>
        <v/>
      </c>
      <c r="O11" s="167">
        <f>O10*0.091</f>
        <v/>
      </c>
      <c r="P11" s="146">
        <f>SUM(D11:O11)</f>
        <v/>
      </c>
    </row>
    <row r="12" ht="15" customHeight="1" s="123">
      <c r="A12" s="143" t="inlineStr">
        <is>
          <t>Cost of Goods Sold</t>
        </is>
      </c>
      <c r="D12" s="168">
        <f>-D11*0.4</f>
        <v/>
      </c>
      <c r="E12" s="168">
        <f>-E11*0.4</f>
        <v/>
      </c>
      <c r="F12" s="168">
        <f>-F11*0.4</f>
        <v/>
      </c>
      <c r="G12" s="168">
        <f>-G11*0.4</f>
        <v/>
      </c>
      <c r="H12" s="168">
        <f>-H11*0.4</f>
        <v/>
      </c>
      <c r="I12" s="168">
        <f>-I11*0.4</f>
        <v/>
      </c>
      <c r="J12" s="168">
        <f>-J11*0.4</f>
        <v/>
      </c>
      <c r="K12" s="168">
        <f>-K11*0.4</f>
        <v/>
      </c>
      <c r="L12" s="168">
        <f>-L11*0.4</f>
        <v/>
      </c>
      <c r="M12" s="168">
        <f>-M11*0.4</f>
        <v/>
      </c>
      <c r="N12" s="168">
        <f>-N11*0.4</f>
        <v/>
      </c>
      <c r="O12" s="168">
        <f>-O11*0.4</f>
        <v/>
      </c>
      <c r="P12" s="146">
        <f>SUM(D12:O12)</f>
        <v/>
      </c>
    </row>
    <row r="13" ht="15.75" customHeight="1" s="123">
      <c r="A13" s="169" t="inlineStr">
        <is>
          <t>NET REVENUE</t>
        </is>
      </c>
      <c r="B13" s="170" t="n"/>
      <c r="C13" s="170" t="n"/>
      <c r="D13" s="171">
        <f>D10+D11+D12</f>
        <v/>
      </c>
      <c r="E13" s="171">
        <f>E10+E11+E12</f>
        <v/>
      </c>
      <c r="F13" s="171">
        <f>F10+F11+F12</f>
        <v/>
      </c>
      <c r="G13" s="171">
        <f>G10+G11+G12</f>
        <v/>
      </c>
      <c r="H13" s="171">
        <f>H10+H11+H12</f>
        <v/>
      </c>
      <c r="I13" s="171">
        <f>I10+I11+I12</f>
        <v/>
      </c>
      <c r="J13" s="171">
        <f>J10+J11+J12</f>
        <v/>
      </c>
      <c r="K13" s="171">
        <f>K10+K11+K12</f>
        <v/>
      </c>
      <c r="L13" s="171">
        <f>L10+L11+L12</f>
        <v/>
      </c>
      <c r="M13" s="171">
        <f>M10+M11+M12</f>
        <v/>
      </c>
      <c r="N13" s="171">
        <f>N10+N11+N12</f>
        <v/>
      </c>
      <c r="O13" s="171">
        <f>O10+O11+O12</f>
        <v/>
      </c>
      <c r="P13" s="171">
        <f>SUM(D13:O13)</f>
        <v/>
      </c>
    </row>
    <row r="14" ht="6" customHeight="1" s="123"/>
    <row r="15" ht="15.75" customHeight="1" s="123">
      <c r="A15" s="125" t="inlineStr">
        <is>
          <t>── OPERATING EXPENSES</t>
        </is>
      </c>
      <c r="B15" s="126" t="n"/>
      <c r="C15" s="126" t="n"/>
      <c r="D15" s="126" t="n"/>
      <c r="E15" s="126" t="n"/>
      <c r="F15" s="126" t="n"/>
      <c r="G15" s="126" t="n"/>
      <c r="H15" s="126" t="n"/>
      <c r="I15" s="126" t="n"/>
      <c r="J15" s="126" t="n"/>
      <c r="K15" s="126" t="n"/>
      <c r="L15" s="126" t="n"/>
      <c r="M15" s="126" t="n"/>
      <c r="N15" s="126" t="n"/>
      <c r="O15" s="126" t="n"/>
      <c r="P15" s="126" t="n"/>
    </row>
    <row r="16" ht="15" customHeight="1" s="123">
      <c r="A16" s="143" t="inlineStr">
        <is>
          <t>Variable Expenses</t>
        </is>
      </c>
      <c r="B16" s="165" t="inlineStr">
        <is>
          <t>44% Net Rev</t>
        </is>
      </c>
      <c r="D16" s="167">
        <f>D13*0.44</f>
        <v/>
      </c>
      <c r="E16" s="167">
        <f>E13*0.44</f>
        <v/>
      </c>
      <c r="F16" s="167">
        <f>F13*0.44</f>
        <v/>
      </c>
      <c r="G16" s="167">
        <f>G13*0.44</f>
        <v/>
      </c>
      <c r="H16" s="167">
        <f>H13*0.44</f>
        <v/>
      </c>
      <c r="I16" s="167">
        <f>I13*0.44</f>
        <v/>
      </c>
      <c r="J16" s="167">
        <f>J13*0.44</f>
        <v/>
      </c>
      <c r="K16" s="167">
        <f>K13*0.44</f>
        <v/>
      </c>
      <c r="L16" s="167">
        <f>L13*0.44</f>
        <v/>
      </c>
      <c r="M16" s="167">
        <f>M13*0.44</f>
        <v/>
      </c>
      <c r="N16" s="167">
        <f>N13*0.44</f>
        <v/>
      </c>
      <c r="O16" s="167">
        <f>O13*0.44</f>
        <v/>
      </c>
      <c r="P16" s="146">
        <f>SUM(D16:O16)</f>
        <v/>
      </c>
    </row>
    <row r="17" ht="15" customHeight="1" s="123">
      <c r="A17" s="143" t="inlineStr">
        <is>
          <t>Franchise Pass-throughs</t>
        </is>
      </c>
      <c r="B17" s="165" t="inlineStr">
        <is>
          <t>13.4% Net Rev</t>
        </is>
      </c>
      <c r="D17" s="167">
        <f>D13*0.134</f>
        <v/>
      </c>
      <c r="E17" s="167">
        <f>E13*0.134</f>
        <v/>
      </c>
      <c r="F17" s="167">
        <f>F13*0.134</f>
        <v/>
      </c>
      <c r="G17" s="167">
        <f>G13*0.134</f>
        <v/>
      </c>
      <c r="H17" s="167">
        <f>H13*0.134</f>
        <v/>
      </c>
      <c r="I17" s="167">
        <f>I13*0.134</f>
        <v/>
      </c>
      <c r="J17" s="167">
        <f>J13*0.134</f>
        <v/>
      </c>
      <c r="K17" s="167">
        <f>K13*0.134</f>
        <v/>
      </c>
      <c r="L17" s="167">
        <f>L13*0.134</f>
        <v/>
      </c>
      <c r="M17" s="167">
        <f>M13*0.134</f>
        <v/>
      </c>
      <c r="N17" s="167">
        <f>N13*0.134</f>
        <v/>
      </c>
      <c r="O17" s="167">
        <f>O13*0.134</f>
        <v/>
      </c>
      <c r="P17" s="146">
        <f>SUM(D17:O17)</f>
        <v/>
      </c>
    </row>
    <row r="18" ht="15" customHeight="1" s="123">
      <c r="A18" s="143" t="inlineStr">
        <is>
          <t>Franchise Fees</t>
        </is>
      </c>
      <c r="B18" s="165" t="inlineStr">
        <is>
          <t>14.8% Net Rev</t>
        </is>
      </c>
      <c r="D18" s="167">
        <f>D13*0.148</f>
        <v/>
      </c>
      <c r="E18" s="167">
        <f>E13*0.148</f>
        <v/>
      </c>
      <c r="F18" s="167">
        <f>F13*0.148</f>
        <v/>
      </c>
      <c r="G18" s="167">
        <f>G13*0.148</f>
        <v/>
      </c>
      <c r="H18" s="167">
        <f>H13*0.148</f>
        <v/>
      </c>
      <c r="I18" s="167">
        <f>I13*0.148</f>
        <v/>
      </c>
      <c r="J18" s="167">
        <f>J13*0.148</f>
        <v/>
      </c>
      <c r="K18" s="167">
        <f>K13*0.148</f>
        <v/>
      </c>
      <c r="L18" s="167">
        <f>L13*0.148</f>
        <v/>
      </c>
      <c r="M18" s="167">
        <f>M13*0.148</f>
        <v/>
      </c>
      <c r="N18" s="167">
        <f>N13*0.148</f>
        <v/>
      </c>
      <c r="O18" s="167">
        <f>O13*0.148</f>
        <v/>
      </c>
      <c r="P18" s="146">
        <f>SUM(D18:O18)</f>
        <v/>
      </c>
    </row>
    <row r="19" ht="15.75" customHeight="1" s="123">
      <c r="A19" s="169" t="inlineStr">
        <is>
          <t>TOTAL OPERATING EXPENSES</t>
        </is>
      </c>
      <c r="B19" s="170" t="n"/>
      <c r="C19" s="170" t="n"/>
      <c r="D19" s="171">
        <f>D16+D17+D18</f>
        <v/>
      </c>
      <c r="E19" s="171">
        <f>E16+E17+E18</f>
        <v/>
      </c>
      <c r="F19" s="171">
        <f>F16+F17+F18</f>
        <v/>
      </c>
      <c r="G19" s="171">
        <f>G16+G17+G18</f>
        <v/>
      </c>
      <c r="H19" s="171">
        <f>H16+H17+H18</f>
        <v/>
      </c>
      <c r="I19" s="171">
        <f>I16+I17+I18</f>
        <v/>
      </c>
      <c r="J19" s="171">
        <f>J16+J17+J18</f>
        <v/>
      </c>
      <c r="K19" s="171">
        <f>K16+K17+K18</f>
        <v/>
      </c>
      <c r="L19" s="171">
        <f>L16+L17+L18</f>
        <v/>
      </c>
      <c r="M19" s="171">
        <f>M16+M17+M18</f>
        <v/>
      </c>
      <c r="N19" s="171">
        <f>N16+N17+N18</f>
        <v/>
      </c>
      <c r="O19" s="171">
        <f>O16+O17+O18</f>
        <v/>
      </c>
      <c r="P19" s="171">
        <f>SUM(D19:O19)</f>
        <v/>
      </c>
    </row>
    <row r="20" ht="6" customHeight="1" s="123"/>
    <row r="21" ht="18" customHeight="1" s="123">
      <c r="A21" s="172" t="inlineStr">
        <is>
          <t>NET OPERATING INCOME (NOI)</t>
        </is>
      </c>
      <c r="B21" s="173" t="n"/>
      <c r="C21" s="173" t="n"/>
      <c r="D21" s="174">
        <f>D13-D19</f>
        <v/>
      </c>
      <c r="E21" s="174">
        <f>E13-E19</f>
        <v/>
      </c>
      <c r="F21" s="174">
        <f>F13-F19</f>
        <v/>
      </c>
      <c r="G21" s="174">
        <f>G13-G19</f>
        <v/>
      </c>
      <c r="H21" s="174">
        <f>H13-H19</f>
        <v/>
      </c>
      <c r="I21" s="174">
        <f>I13-I19</f>
        <v/>
      </c>
      <c r="J21" s="174">
        <f>J13-J19</f>
        <v/>
      </c>
      <c r="K21" s="174">
        <f>K13-K19</f>
        <v/>
      </c>
      <c r="L21" s="174">
        <f>L13-L19</f>
        <v/>
      </c>
      <c r="M21" s="174">
        <f>M13-M19</f>
        <v/>
      </c>
      <c r="N21" s="174">
        <f>N13-N19</f>
        <v/>
      </c>
      <c r="O21" s="174">
        <f>O13-O19</f>
        <v/>
      </c>
      <c r="P21" s="174">
        <f>SUM(D21:O21)</f>
        <v/>
      </c>
    </row>
    <row r="22" ht="6" customHeight="1" s="123"/>
    <row r="23" ht="15.75" customHeight="1" s="123">
      <c r="A23" s="125" t="inlineStr">
        <is>
          <t>── KEY PERFORMANCE METRICS (FORECAST)</t>
        </is>
      </c>
      <c r="B23" s="126" t="n"/>
      <c r="C23" s="126" t="n"/>
      <c r="D23" s="126" t="n"/>
      <c r="E23" s="126" t="n"/>
      <c r="F23" s="126" t="n"/>
      <c r="G23" s="126" t="n"/>
      <c r="H23" s="126" t="n"/>
      <c r="I23" s="126" t="n"/>
      <c r="J23" s="126" t="n"/>
      <c r="K23" s="126" t="n"/>
      <c r="L23" s="126" t="n"/>
      <c r="M23" s="126" t="n"/>
      <c r="N23" s="126" t="n"/>
      <c r="O23" s="126" t="n"/>
      <c r="P23" s="126" t="n"/>
    </row>
    <row r="24" ht="15" customHeight="1" s="123">
      <c r="A24" s="143" t="inlineStr">
        <is>
          <t>Available Tent Nights</t>
        </is>
      </c>
      <c r="D24" s="175" t="n">
        <v>372</v>
      </c>
      <c r="E24" s="175" t="n">
        <v>336</v>
      </c>
      <c r="F24" s="175" t="n">
        <v>372</v>
      </c>
      <c r="G24" s="175" t="n">
        <v>360</v>
      </c>
      <c r="H24" s="175" t="n">
        <v>372</v>
      </c>
      <c r="I24" s="175" t="n">
        <v>360</v>
      </c>
      <c r="J24" s="175" t="n">
        <v>372</v>
      </c>
      <c r="K24" s="175" t="n">
        <v>372</v>
      </c>
      <c r="L24" s="175" t="n">
        <v>360</v>
      </c>
      <c r="M24" s="175" t="n">
        <v>372</v>
      </c>
      <c r="N24" s="175" t="n">
        <v>360</v>
      </c>
      <c r="O24" s="175" t="n">
        <v>372</v>
      </c>
      <c r="P24" s="157">
        <f>SUM(D24:O24)</f>
        <v/>
      </c>
    </row>
    <row r="25" ht="15" customHeight="1" s="123">
      <c r="A25" s="127" t="inlineStr">
        <is>
          <t>RevPAR (Forecast)</t>
        </is>
      </c>
      <c r="D25" s="176">
        <f>D7*D6</f>
        <v/>
      </c>
      <c r="E25" s="176">
        <f>E7*E6</f>
        <v/>
      </c>
      <c r="F25" s="176">
        <f>F7*F6</f>
        <v/>
      </c>
      <c r="G25" s="176">
        <f>G7*G6</f>
        <v/>
      </c>
      <c r="H25" s="176">
        <f>H7*H6</f>
        <v/>
      </c>
      <c r="I25" s="176">
        <f>I7*I6</f>
        <v/>
      </c>
      <c r="J25" s="176">
        <f>J7*J6</f>
        <v/>
      </c>
      <c r="K25" s="176">
        <f>K7*K6</f>
        <v/>
      </c>
      <c r="L25" s="176">
        <f>L7*L6</f>
        <v/>
      </c>
      <c r="M25" s="176">
        <f>M7*M6</f>
        <v/>
      </c>
      <c r="N25" s="176">
        <f>N7*N6</f>
        <v/>
      </c>
      <c r="O25" s="176">
        <f>O7*O6</f>
        <v/>
      </c>
      <c r="P25" s="177">
        <f>AVERAGE(D25:O25)</f>
        <v/>
      </c>
    </row>
    <row r="26" ht="15" customHeight="1" s="123">
      <c r="A26" s="127" t="inlineStr">
        <is>
          <t>NOI Margin % (Forecast)</t>
        </is>
      </c>
      <c r="D26" s="178">
        <f>IFERROR(D21/D13,0)</f>
        <v/>
      </c>
      <c r="E26" s="178">
        <f>IFERROR(E21/E13,0)</f>
        <v/>
      </c>
      <c r="F26" s="178">
        <f>IFERROR(F21/F13,0)</f>
        <v/>
      </c>
      <c r="G26" s="178">
        <f>IFERROR(G21/G13,0)</f>
        <v/>
      </c>
      <c r="H26" s="178">
        <f>IFERROR(H21/H13,0)</f>
        <v/>
      </c>
      <c r="I26" s="178">
        <f>IFERROR(I21/I13,0)</f>
        <v/>
      </c>
      <c r="J26" s="178">
        <f>IFERROR(J21/J13,0)</f>
        <v/>
      </c>
      <c r="K26" s="178">
        <f>IFERROR(K21/K13,0)</f>
        <v/>
      </c>
      <c r="L26" s="178">
        <f>IFERROR(L21/L13,0)</f>
        <v/>
      </c>
      <c r="M26" s="178">
        <f>IFERROR(M21/M13,0)</f>
        <v/>
      </c>
      <c r="N26" s="178">
        <f>IFERROR(N21/N13,0)</f>
        <v/>
      </c>
      <c r="O26" s="178">
        <f>IFERROR(O21/O13,0)</f>
        <v/>
      </c>
      <c r="P26" s="138">
        <f>IFERROR(P21/P13,0)</f>
        <v/>
      </c>
    </row>
  </sheetData>
  <mergeCells count="6">
    <mergeCell ref="A5:P5"/>
    <mergeCell ref="A23:P23"/>
    <mergeCell ref="A9:P9"/>
    <mergeCell ref="A4:P4"/>
    <mergeCell ref="A15:P15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A9E7A"/>
    <outlinePr summaryBelow="1" summaryRight="1"/>
    <pageSetUpPr fitToPage="0"/>
  </sheetPr>
  <dimension ref="A1:Q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0" customWidth="1" style="122" min="1" max="1"/>
    <col width="16" customWidth="1" style="122" min="2" max="2"/>
    <col width="10" customWidth="1" style="122" min="3" max="3"/>
    <col width="11" customWidth="1" style="122" min="4" max="15"/>
    <col width="13" customWidth="1" style="122" min="16" max="16"/>
  </cols>
  <sheetData>
    <row r="1" ht="27.75" customHeight="1" s="123">
      <c r="A1" s="124" t="inlineStr">
        <is>
          <t>FERNCREST FLINT CREEK — MONTHLY ACTUALS INPUT 2026</t>
        </is>
      </c>
    </row>
    <row r="2" ht="7.5" customHeight="1" s="123"/>
    <row r="3" ht="13.5" customHeight="1" s="123">
      <c r="A3" s="162" t="inlineStr">
        <is>
          <t>Enter actuals each month after books close. Blue = manual input from Cloudbeds CSV + bookkeeper. All other cells calculate automatically.</t>
        </is>
      </c>
    </row>
    <row r="4" ht="30" customHeight="1" s="123">
      <c r="A4" s="129" t="inlineStr">
        <is>
          <t>Line Item</t>
        </is>
      </c>
      <c r="B4" s="129" t="inlineStr">
        <is>
          <t>Source</t>
        </is>
      </c>
      <c r="C4" s="129" t="inlineStr">
        <is>
          <t>COA Ref</t>
        </is>
      </c>
      <c r="D4" s="129" t="inlineStr">
        <is>
          <t>Jan</t>
        </is>
      </c>
      <c r="E4" s="129" t="inlineStr">
        <is>
          <t>Feb</t>
        </is>
      </c>
      <c r="F4" s="129" t="inlineStr">
        <is>
          <t>Mar</t>
        </is>
      </c>
      <c r="G4" s="129" t="inlineStr">
        <is>
          <t>Apr</t>
        </is>
      </c>
      <c r="H4" s="129" t="inlineStr">
        <is>
          <t>May</t>
        </is>
      </c>
      <c r="I4" s="129" t="inlineStr">
        <is>
          <t>Jun</t>
        </is>
      </c>
      <c r="J4" s="129" t="inlineStr">
        <is>
          <t>Jul</t>
        </is>
      </c>
      <c r="K4" s="129" t="inlineStr">
        <is>
          <t>Aug</t>
        </is>
      </c>
      <c r="L4" s="129" t="inlineStr">
        <is>
          <t>Sep</t>
        </is>
      </c>
      <c r="M4" s="129" t="inlineStr">
        <is>
          <t>Oct</t>
        </is>
      </c>
      <c r="N4" s="129" t="inlineStr">
        <is>
          <t>Nov</t>
        </is>
      </c>
      <c r="O4" s="129" t="inlineStr">
        <is>
          <t>Dec</t>
        </is>
      </c>
      <c r="P4" s="129" t="inlineStr">
        <is>
          <t>YTD Total</t>
        </is>
      </c>
    </row>
    <row r="5" ht="13.5" customHeight="1" s="123">
      <c r="A5" s="125" t="inlineStr">
        <is>
          <t>── REVENUE</t>
        </is>
      </c>
      <c r="B5" s="126" t="n"/>
      <c r="C5" s="126" t="n"/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</row>
    <row r="6" ht="15" customHeight="1" s="123">
      <c r="A6" s="143" t="inlineStr">
        <is>
          <t>Room Revenue (excl. tax)</t>
        </is>
      </c>
      <c r="B6" s="144" t="inlineStr">
        <is>
          <t>Cloudbeds CSV</t>
        </is>
      </c>
      <c r="C6" s="144" t="inlineStr">
        <is>
          <t>4000-4099</t>
        </is>
      </c>
      <c r="D6" s="179" t="n">
        <v>13503.44</v>
      </c>
      <c r="E6" s="179" t="n">
        <v>9980.92</v>
      </c>
      <c r="F6" s="179" t="n">
        <v>24720.97</v>
      </c>
      <c r="G6" s="179" t="n">
        <v>9427.34</v>
      </c>
      <c r="H6" s="179" t="n"/>
      <c r="I6" s="179" t="n"/>
      <c r="J6" s="179" t="n"/>
      <c r="K6" s="179" t="n"/>
      <c r="L6" s="179" t="n"/>
      <c r="M6" s="179" t="n"/>
      <c r="N6" s="179" t="n"/>
      <c r="O6" s="179" t="n"/>
      <c r="P6" s="146">
        <f>SUM(D6:O6)</f>
        <v/>
      </c>
    </row>
    <row r="7" ht="15" customHeight="1" s="123">
      <c r="A7" s="143" t="inlineStr">
        <is>
          <t>Store Revenue</t>
        </is>
      </c>
      <c r="B7" s="144" t="inlineStr">
        <is>
          <t>Bookkeeper</t>
        </is>
      </c>
      <c r="C7" s="144" t="inlineStr">
        <is>
          <t>4100-4199</t>
        </is>
      </c>
      <c r="D7" s="179" t="n"/>
      <c r="E7" s="179" t="n"/>
      <c r="F7" s="179" t="n"/>
      <c r="G7" s="179" t="n"/>
      <c r="H7" s="179" t="n"/>
      <c r="I7" s="179" t="n"/>
      <c r="J7" s="179" t="n"/>
      <c r="K7" s="179" t="n"/>
      <c r="L7" s="179" t="n"/>
      <c r="M7" s="179" t="n"/>
      <c r="N7" s="179" t="n"/>
      <c r="O7" s="179" t="n"/>
      <c r="P7" s="146">
        <f>SUM(D7:O7)</f>
        <v/>
      </c>
    </row>
    <row r="8" ht="15" customHeight="1" s="123">
      <c r="A8" s="143" t="inlineStr">
        <is>
          <t>Cost of Goods Sold</t>
        </is>
      </c>
      <c r="B8" s="144" t="inlineStr">
        <is>
          <t>Bookkeeper</t>
        </is>
      </c>
      <c r="C8" s="144" t="inlineStr">
        <is>
          <t>5000-5020</t>
        </is>
      </c>
      <c r="D8" s="179" t="n"/>
      <c r="E8" s="179" t="n"/>
      <c r="F8" s="179" t="n"/>
      <c r="G8" s="179" t="n"/>
      <c r="H8" s="179" t="n"/>
      <c r="I8" s="179" t="n"/>
      <c r="J8" s="179" t="n"/>
      <c r="K8" s="179" t="n"/>
      <c r="L8" s="179" t="n"/>
      <c r="M8" s="179" t="n"/>
      <c r="N8" s="179" t="n"/>
      <c r="O8" s="179" t="n"/>
      <c r="P8" s="146">
        <f>SUM(D8:O8)</f>
        <v/>
      </c>
    </row>
    <row r="9" ht="15" customHeight="1" s="123">
      <c r="A9" s="169" t="inlineStr">
        <is>
          <t>NET REVENUE</t>
        </is>
      </c>
      <c r="B9" s="152" t="n"/>
      <c r="C9" s="152" t="n"/>
      <c r="D9" s="171" t="n">
        <v>0</v>
      </c>
      <c r="E9" s="171" t="n">
        <v>0</v>
      </c>
      <c r="F9" s="171" t="n">
        <v>0</v>
      </c>
      <c r="G9" s="171" t="n">
        <v>0</v>
      </c>
      <c r="H9" s="171" t="n">
        <v>0</v>
      </c>
      <c r="I9" s="171" t="n">
        <v>0</v>
      </c>
      <c r="J9" s="171" t="n">
        <v>0</v>
      </c>
      <c r="K9" s="171" t="n">
        <v>0</v>
      </c>
      <c r="L9" s="171" t="n">
        <v>0</v>
      </c>
      <c r="M9" s="171" t="n">
        <v>0</v>
      </c>
      <c r="N9" s="171" t="n">
        <v>0</v>
      </c>
      <c r="O9" s="171" t="n">
        <v>0</v>
      </c>
      <c r="P9" s="171">
        <f>SUM(D9:O9)</f>
        <v/>
      </c>
    </row>
    <row r="10" ht="13.5" customHeight="1" s="123">
      <c r="A10" s="125" t="inlineStr">
        <is>
          <t>── OPERATING EXPENSES</t>
        </is>
      </c>
      <c r="B10" s="126" t="n"/>
      <c r="C10" s="126" t="n"/>
      <c r="D10" s="126" t="n"/>
      <c r="E10" s="126" t="n"/>
      <c r="F10" s="126" t="n"/>
      <c r="G10" s="126" t="n"/>
      <c r="H10" s="126" t="n"/>
      <c r="I10" s="126" t="n"/>
      <c r="J10" s="126" t="n"/>
      <c r="K10" s="126" t="n"/>
      <c r="L10" s="126" t="n"/>
      <c r="M10" s="126" t="n"/>
      <c r="N10" s="126" t="n"/>
      <c r="O10" s="126" t="n"/>
      <c r="P10" s="126" t="n"/>
    </row>
    <row r="11" ht="15" customHeight="1" s="123">
      <c r="A11" s="143" t="inlineStr">
        <is>
          <t>Payroll &amp; Labor</t>
        </is>
      </c>
      <c r="B11" s="144" t="inlineStr">
        <is>
          <t>Bookkeeper</t>
        </is>
      </c>
      <c r="C11" s="144" t="inlineStr">
        <is>
          <t>6000-6120</t>
        </is>
      </c>
      <c r="D11" s="179" t="n"/>
      <c r="E11" s="179" t="n"/>
      <c r="F11" s="179" t="n"/>
      <c r="G11" s="179" t="n"/>
      <c r="H11" s="179" t="n"/>
      <c r="I11" s="179" t="n"/>
      <c r="J11" s="179" t="n"/>
      <c r="K11" s="179" t="n"/>
      <c r="L11" s="179" t="n"/>
      <c r="M11" s="179" t="n"/>
      <c r="N11" s="179" t="n"/>
      <c r="O11" s="179" t="n"/>
      <c r="P11" s="146">
        <f>SUM(D11:O11)</f>
        <v/>
      </c>
    </row>
    <row r="12" ht="15" customHeight="1" s="123">
      <c r="A12" s="143" t="inlineStr">
        <is>
          <t>Utilities</t>
        </is>
      </c>
      <c r="B12" s="144" t="inlineStr">
        <is>
          <t>Bookkeeper</t>
        </is>
      </c>
      <c r="C12" s="144" t="inlineStr">
        <is>
          <t>6200-6240</t>
        </is>
      </c>
      <c r="D12" s="179" t="n"/>
      <c r="E12" s="179" t="n"/>
      <c r="F12" s="179" t="n"/>
      <c r="G12" s="179" t="n"/>
      <c r="H12" s="179" t="n"/>
      <c r="I12" s="179" t="n"/>
      <c r="J12" s="179" t="n"/>
      <c r="K12" s="179" t="n"/>
      <c r="L12" s="179" t="n"/>
      <c r="M12" s="179" t="n"/>
      <c r="N12" s="179" t="n"/>
      <c r="O12" s="179" t="n"/>
      <c r="P12" s="146">
        <f>SUM(D12:O12)</f>
        <v/>
      </c>
    </row>
    <row r="13" ht="15" customHeight="1" s="123">
      <c r="A13" s="143" t="inlineStr">
        <is>
          <t>Repairs &amp; Maintenance</t>
        </is>
      </c>
      <c r="B13" s="144" t="inlineStr">
        <is>
          <t>Bookkeeper</t>
        </is>
      </c>
      <c r="C13" s="144" t="inlineStr">
        <is>
          <t>6300-6340</t>
        </is>
      </c>
      <c r="D13" s="179" t="n"/>
      <c r="E13" s="179" t="n"/>
      <c r="F13" s="179" t="n"/>
      <c r="G13" s="179" t="n"/>
      <c r="H13" s="179" t="n"/>
      <c r="I13" s="179" t="n"/>
      <c r="J13" s="179" t="n"/>
      <c r="K13" s="179" t="n"/>
      <c r="L13" s="179" t="n"/>
      <c r="M13" s="179" t="n"/>
      <c r="N13" s="179" t="n"/>
      <c r="O13" s="179" t="n"/>
      <c r="P13" s="146">
        <f>SUM(D13:O13)</f>
        <v/>
      </c>
    </row>
    <row r="14" ht="15" customHeight="1" s="123">
      <c r="A14" s="143" t="inlineStr">
        <is>
          <t>Supplies / Linens</t>
        </is>
      </c>
      <c r="B14" s="144" t="inlineStr">
        <is>
          <t>Bookkeeper</t>
        </is>
      </c>
      <c r="C14" s="144" t="inlineStr">
        <is>
          <t>6400-6430</t>
        </is>
      </c>
      <c r="D14" s="179" t="n"/>
      <c r="E14" s="179" t="n"/>
      <c r="F14" s="179" t="n"/>
      <c r="G14" s="179" t="n"/>
      <c r="H14" s="179" t="n"/>
      <c r="I14" s="179" t="n"/>
      <c r="J14" s="179" t="n"/>
      <c r="K14" s="179" t="n"/>
      <c r="L14" s="179" t="n"/>
      <c r="M14" s="179" t="n"/>
      <c r="N14" s="179" t="n"/>
      <c r="O14" s="179" t="n"/>
      <c r="P14" s="146">
        <f>SUM(D14:O14)</f>
        <v/>
      </c>
    </row>
    <row r="15" ht="15" customHeight="1" s="123">
      <c r="A15" s="143" t="inlineStr">
        <is>
          <t>Insurance &amp; Taxes</t>
        </is>
      </c>
      <c r="B15" s="144" t="inlineStr">
        <is>
          <t>Bookkeeper</t>
        </is>
      </c>
      <c r="C15" s="144" t="inlineStr">
        <is>
          <t>6500-6540</t>
        </is>
      </c>
      <c r="D15" s="179" t="n"/>
      <c r="E15" s="179" t="n"/>
      <c r="F15" s="179" t="n"/>
      <c r="G15" s="179" t="n"/>
      <c r="H15" s="179" t="n"/>
      <c r="I15" s="179" t="n"/>
      <c r="J15" s="179" t="n"/>
      <c r="K15" s="179" t="n"/>
      <c r="L15" s="179" t="n"/>
      <c r="M15" s="179" t="n"/>
      <c r="N15" s="179" t="n"/>
      <c r="O15" s="179" t="n"/>
      <c r="P15" s="146">
        <f>SUM(D15:O15)</f>
        <v/>
      </c>
    </row>
    <row r="16" ht="15" customHeight="1" s="123">
      <c r="A16" s="143" t="inlineStr">
        <is>
          <t>Marketing &amp; Advertising</t>
        </is>
      </c>
      <c r="B16" s="144" t="inlineStr">
        <is>
          <t>Bookkeeper</t>
        </is>
      </c>
      <c r="C16" s="144" t="inlineStr">
        <is>
          <t>6700-6730</t>
        </is>
      </c>
      <c r="D16" s="179" t="n"/>
      <c r="E16" s="179" t="n"/>
      <c r="F16" s="179" t="n"/>
      <c r="G16" s="179" t="n"/>
      <c r="H16" s="179" t="n"/>
      <c r="I16" s="179" t="n"/>
      <c r="J16" s="179" t="n"/>
      <c r="K16" s="179" t="n"/>
      <c r="L16" s="179" t="n"/>
      <c r="M16" s="179" t="n"/>
      <c r="N16" s="179" t="n"/>
      <c r="O16" s="179" t="n"/>
      <c r="P16" s="146">
        <f>SUM(D16:O16)</f>
        <v/>
      </c>
    </row>
    <row r="17" ht="15" customHeight="1" s="123">
      <c r="A17" s="143" t="inlineStr">
        <is>
          <t>Professional Fees</t>
        </is>
      </c>
      <c r="B17" s="144" t="inlineStr">
        <is>
          <t>Bookkeeper</t>
        </is>
      </c>
      <c r="C17" s="144" t="inlineStr">
        <is>
          <t>6800-6810</t>
        </is>
      </c>
      <c r="D17" s="179" t="n"/>
      <c r="E17" s="179" t="n"/>
      <c r="F17" s="179" t="n"/>
      <c r="G17" s="179" t="n"/>
      <c r="H17" s="179" t="n"/>
      <c r="I17" s="179" t="n"/>
      <c r="J17" s="179" t="n"/>
      <c r="K17" s="179" t="n"/>
      <c r="L17" s="179" t="n"/>
      <c r="M17" s="179" t="n"/>
      <c r="N17" s="179" t="n"/>
      <c r="O17" s="179" t="n"/>
      <c r="P17" s="146">
        <f>SUM(D17:O17)</f>
        <v/>
      </c>
    </row>
    <row r="18" ht="15" customHeight="1" s="123">
      <c r="A18" s="143" t="inlineStr">
        <is>
          <t>Banking &amp; Credit Card Fees</t>
        </is>
      </c>
      <c r="B18" s="144" t="inlineStr">
        <is>
          <t>Bookkeeper</t>
        </is>
      </c>
      <c r="C18" s="144" t="inlineStr">
        <is>
          <t>6900-6920</t>
        </is>
      </c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79" t="n"/>
      <c r="N18" s="179" t="n"/>
      <c r="O18" s="179" t="n"/>
      <c r="P18" s="146">
        <f>SUM(D18:O18)</f>
        <v/>
      </c>
    </row>
    <row r="19" ht="15" customHeight="1" s="123">
      <c r="A19" s="143" t="inlineStr">
        <is>
          <t>Misc / Other</t>
        </is>
      </c>
      <c r="B19" s="144" t="inlineStr">
        <is>
          <t>Bookkeeper</t>
        </is>
      </c>
      <c r="C19" s="144" t="inlineStr">
        <is>
          <t>7000-7400</t>
        </is>
      </c>
      <c r="D19" s="179" t="n"/>
      <c r="E19" s="179" t="n"/>
      <c r="F19" s="179" t="n"/>
      <c r="G19" s="179" t="n"/>
      <c r="H19" s="179" t="n"/>
      <c r="I19" s="179" t="n"/>
      <c r="J19" s="179" t="n"/>
      <c r="K19" s="179" t="n"/>
      <c r="L19" s="179" t="n"/>
      <c r="M19" s="179" t="n"/>
      <c r="N19" s="179" t="n"/>
      <c r="O19" s="179" t="n"/>
      <c r="P19" s="146">
        <f>SUM(D19:O19)</f>
        <v/>
      </c>
    </row>
    <row r="20" ht="15" customHeight="1" s="123">
      <c r="A20" s="143" t="inlineStr">
        <is>
          <t>Franchise Pass-throughs</t>
        </is>
      </c>
      <c r="B20" s="144" t="inlineStr">
        <is>
          <t>Franchisor CSV</t>
        </is>
      </c>
      <c r="C20" s="144" t="inlineStr">
        <is>
          <t>Auto</t>
        </is>
      </c>
      <c r="D20" s="179" t="n"/>
      <c r="E20" s="179" t="n"/>
      <c r="F20" s="179" t="n"/>
      <c r="G20" s="179" t="n"/>
      <c r="H20" s="179" t="n"/>
      <c r="I20" s="179" t="n"/>
      <c r="J20" s="179" t="n"/>
      <c r="K20" s="179" t="n"/>
      <c r="L20" s="179" t="n"/>
      <c r="M20" s="179" t="n"/>
      <c r="N20" s="179" t="n"/>
      <c r="O20" s="179" t="n"/>
      <c r="P20" s="146">
        <f>SUM(D20:O20)</f>
        <v/>
      </c>
    </row>
    <row r="21" ht="15" customHeight="1" s="123">
      <c r="A21" s="143" t="inlineStr">
        <is>
          <t>Franchise Fees</t>
        </is>
      </c>
      <c r="B21" s="144" t="inlineStr">
        <is>
          <t>Franchisor CSV</t>
        </is>
      </c>
      <c r="C21" s="144" t="inlineStr">
        <is>
          <t>Auto</t>
        </is>
      </c>
      <c r="D21" s="179" t="n"/>
      <c r="E21" s="179" t="n"/>
      <c r="F21" s="179" t="n"/>
      <c r="G21" s="179" t="n"/>
      <c r="H21" s="179" t="n"/>
      <c r="I21" s="179" t="n"/>
      <c r="J21" s="179" t="n"/>
      <c r="K21" s="179" t="n"/>
      <c r="L21" s="179" t="n"/>
      <c r="M21" s="179" t="n"/>
      <c r="N21" s="179" t="n"/>
      <c r="O21" s="179" t="n"/>
      <c r="P21" s="146">
        <f>SUM(D21:O21)</f>
        <v/>
      </c>
    </row>
    <row r="22" ht="15" customHeight="1" s="123">
      <c r="A22" s="169" t="inlineStr">
        <is>
          <t>TOTAL OPERATING EXPENSES</t>
        </is>
      </c>
      <c r="B22" s="152" t="n"/>
      <c r="C22" s="152" t="n"/>
      <c r="D22" s="171" t="n">
        <v>0</v>
      </c>
      <c r="E22" s="171" t="n">
        <v>0</v>
      </c>
      <c r="F22" s="171" t="n">
        <v>0</v>
      </c>
      <c r="G22" s="171" t="n">
        <v>0</v>
      </c>
      <c r="H22" s="171" t="n">
        <v>0</v>
      </c>
      <c r="I22" s="171" t="n">
        <v>0</v>
      </c>
      <c r="J22" s="171" t="n">
        <v>0</v>
      </c>
      <c r="K22" s="171" t="n">
        <v>0</v>
      </c>
      <c r="L22" s="171" t="n">
        <v>0</v>
      </c>
      <c r="M22" s="171" t="n">
        <v>0</v>
      </c>
      <c r="N22" s="171" t="n">
        <v>0</v>
      </c>
      <c r="O22" s="171" t="n">
        <v>0</v>
      </c>
      <c r="P22" s="171">
        <f>SUM(D22:O22)</f>
        <v/>
      </c>
    </row>
    <row r="23" ht="13.5" customHeight="1" s="123">
      <c r="A23" s="125" t="inlineStr">
        <is>
          <t>── PERFORMANCE METRICS</t>
        </is>
      </c>
      <c r="B23" s="126" t="n"/>
      <c r="C23" s="126" t="n"/>
      <c r="D23" s="126" t="n"/>
      <c r="E23" s="126" t="n"/>
      <c r="F23" s="126" t="n"/>
      <c r="G23" s="126" t="n"/>
      <c r="H23" s="126" t="n"/>
      <c r="I23" s="126" t="n"/>
      <c r="J23" s="126" t="n"/>
      <c r="K23" s="126" t="n"/>
      <c r="L23" s="126" t="n"/>
      <c r="M23" s="126" t="n"/>
      <c r="N23" s="126" t="n"/>
      <c r="O23" s="126" t="n"/>
      <c r="P23" s="126" t="n"/>
    </row>
    <row r="24" ht="15" customHeight="1" s="123">
      <c r="A24" s="143" t="inlineStr">
        <is>
          <t>Nights Available</t>
        </is>
      </c>
      <c r="B24" s="144" t="inlineStr">
        <is>
          <t>Calculated</t>
        </is>
      </c>
      <c r="C24" s="144" t="n"/>
      <c r="D24" s="179" t="n">
        <v>372</v>
      </c>
      <c r="E24" s="179" t="n">
        <v>336</v>
      </c>
      <c r="F24" s="179" t="n">
        <v>372</v>
      </c>
      <c r="G24" s="179" t="n">
        <v>360</v>
      </c>
      <c r="H24" s="179" t="n"/>
      <c r="I24" s="179" t="n"/>
      <c r="J24" s="179" t="n"/>
      <c r="K24" s="179" t="n"/>
      <c r="L24" s="179" t="n"/>
      <c r="M24" s="179" t="n"/>
      <c r="N24" s="179" t="n"/>
      <c r="O24" s="179" t="n"/>
      <c r="P24" s="146">
        <f>SUM(D24:O24)</f>
        <v/>
      </c>
    </row>
    <row r="25" ht="15" customHeight="1" s="123">
      <c r="A25" s="143" t="inlineStr">
        <is>
          <t>Nights Occupied</t>
        </is>
      </c>
      <c r="B25" s="144" t="inlineStr">
        <is>
          <t>Cloudbeds CSV</t>
        </is>
      </c>
      <c r="C25" s="144" t="n"/>
      <c r="D25" s="179" t="n">
        <v>56</v>
      </c>
      <c r="E25" s="179" t="n">
        <v>47</v>
      </c>
      <c r="F25" s="179" t="n">
        <v>101</v>
      </c>
      <c r="G25" s="179" t="n">
        <v>46</v>
      </c>
      <c r="H25" s="179" t="n"/>
      <c r="I25" s="179" t="n"/>
      <c r="J25" s="179" t="n"/>
      <c r="K25" s="179" t="n"/>
      <c r="L25" s="179" t="n"/>
      <c r="M25" s="179" t="n"/>
      <c r="N25" s="179" t="n"/>
      <c r="O25" s="179" t="n"/>
      <c r="P25" s="146">
        <f>SUM(D25:O25)</f>
        <v/>
      </c>
    </row>
    <row r="26" ht="15" customHeight="1" s="123">
      <c r="A26" s="127" t="inlineStr">
        <is>
          <t>Occupancy Rate</t>
        </is>
      </c>
      <c r="B26" s="147" t="inlineStr">
        <is>
          <t>Calculated</t>
        </is>
      </c>
      <c r="C26" s="147" t="n"/>
      <c r="D26" s="178" t="n">
        <v>0</v>
      </c>
      <c r="E26" s="178" t="n">
        <v>0</v>
      </c>
      <c r="F26" s="178" t="n">
        <v>0</v>
      </c>
      <c r="G26" s="178" t="n">
        <v>0</v>
      </c>
      <c r="H26" s="178" t="n">
        <v>0</v>
      </c>
      <c r="I26" s="178" t="n">
        <v>0</v>
      </c>
      <c r="J26" s="178" t="n">
        <v>0</v>
      </c>
      <c r="K26" s="178" t="n">
        <v>0</v>
      </c>
      <c r="L26" s="178" t="n">
        <v>0</v>
      </c>
      <c r="M26" s="178" t="n">
        <v>0</v>
      </c>
      <c r="N26" s="178" t="n">
        <v>0</v>
      </c>
      <c r="O26" s="178" t="n">
        <v>0</v>
      </c>
      <c r="P26" s="180">
        <f>AVERAGE(D26:O26)</f>
        <v/>
      </c>
    </row>
    <row r="27" ht="15" customHeight="1" s="123">
      <c r="A27" s="143" t="inlineStr">
        <is>
          <t>ADR (Actual)</t>
        </is>
      </c>
      <c r="B27" s="144" t="inlineStr">
        <is>
          <t>Cloudbeds CSV</t>
        </is>
      </c>
      <c r="C27" s="144" t="n"/>
      <c r="D27" s="179" t="n">
        <v>241.13</v>
      </c>
      <c r="E27" s="179" t="n">
        <v>212.36</v>
      </c>
      <c r="F27" s="179" t="n">
        <v>244.76</v>
      </c>
      <c r="G27" s="179" t="n">
        <v>204.94</v>
      </c>
      <c r="H27" s="179" t="n"/>
      <c r="I27" s="179" t="n"/>
      <c r="J27" s="179" t="n"/>
      <c r="K27" s="179" t="n"/>
      <c r="L27" s="179" t="n"/>
      <c r="M27" s="179" t="n"/>
      <c r="N27" s="179" t="n"/>
      <c r="O27" s="179" t="n"/>
      <c r="P27" s="181">
        <f>IFERROR(AVERAGE(D27:O27),0)</f>
        <v/>
      </c>
    </row>
    <row r="28" ht="15" customHeight="1" s="123">
      <c r="A28" s="127" t="inlineStr">
        <is>
          <t>RevPAR (Actual)</t>
        </is>
      </c>
      <c r="B28" s="147" t="inlineStr">
        <is>
          <t>Calculated</t>
        </is>
      </c>
      <c r="C28" s="147" t="n"/>
      <c r="D28" s="182" t="n">
        <v>0</v>
      </c>
      <c r="E28" s="182" t="n">
        <v>0</v>
      </c>
      <c r="F28" s="182" t="n">
        <v>0</v>
      </c>
      <c r="G28" s="182" t="n">
        <v>0</v>
      </c>
      <c r="H28" s="182" t="n">
        <v>0</v>
      </c>
      <c r="I28" s="182" t="n">
        <v>0</v>
      </c>
      <c r="J28" s="182" t="n">
        <v>0</v>
      </c>
      <c r="K28" s="182" t="n">
        <v>0</v>
      </c>
      <c r="L28" s="182" t="n">
        <v>0</v>
      </c>
      <c r="M28" s="182" t="n">
        <v>0</v>
      </c>
      <c r="N28" s="182" t="n">
        <v>0</v>
      </c>
      <c r="O28" s="182" t="n">
        <v>0</v>
      </c>
      <c r="P28" s="181">
        <f>AVERAGE(D28:O28)</f>
        <v/>
      </c>
    </row>
    <row r="29" ht="15" customHeight="1" s="123">
      <c r="A29" s="127" t="inlineStr">
        <is>
          <t>NOI (Actual)</t>
        </is>
      </c>
      <c r="B29" s="147" t="inlineStr">
        <is>
          <t>Calculated</t>
        </is>
      </c>
      <c r="C29" s="147" t="n"/>
      <c r="D29" s="182" t="n">
        <v>0</v>
      </c>
      <c r="E29" s="182" t="n">
        <v>0</v>
      </c>
      <c r="F29" s="182" t="n">
        <v>0</v>
      </c>
      <c r="G29" s="182" t="n">
        <v>0</v>
      </c>
      <c r="H29" s="182" t="n">
        <v>0</v>
      </c>
      <c r="I29" s="182" t="n">
        <v>0</v>
      </c>
      <c r="J29" s="182" t="n">
        <v>0</v>
      </c>
      <c r="K29" s="182" t="n">
        <v>0</v>
      </c>
      <c r="L29" s="182" t="n">
        <v>0</v>
      </c>
      <c r="M29" s="182" t="n">
        <v>0</v>
      </c>
      <c r="N29" s="182" t="n">
        <v>0</v>
      </c>
      <c r="O29" s="182" t="n">
        <v>0</v>
      </c>
      <c r="P29" s="146">
        <f>SUM(D29:O29)</f>
        <v/>
      </c>
    </row>
    <row r="30" ht="15" customHeight="1" s="123">
      <c r="A30" s="127" t="inlineStr">
        <is>
          <t>NOI Margin % (Actual)</t>
        </is>
      </c>
      <c r="B30" s="147" t="inlineStr">
        <is>
          <t>Calculated</t>
        </is>
      </c>
      <c r="C30" s="147" t="n"/>
      <c r="D30" s="178" t="n">
        <v>0</v>
      </c>
      <c r="E30" s="178" t="n">
        <v>0</v>
      </c>
      <c r="F30" s="178" t="n">
        <v>0</v>
      </c>
      <c r="G30" s="178" t="n">
        <v>0</v>
      </c>
      <c r="H30" s="178" t="n">
        <v>0</v>
      </c>
      <c r="I30" s="178" t="n">
        <v>0</v>
      </c>
      <c r="J30" s="178" t="n">
        <v>0</v>
      </c>
      <c r="K30" s="178" t="n">
        <v>0</v>
      </c>
      <c r="L30" s="178" t="n">
        <v>0</v>
      </c>
      <c r="M30" s="178" t="n">
        <v>0</v>
      </c>
      <c r="N30" s="178" t="n">
        <v>0</v>
      </c>
      <c r="O30" s="178" t="n">
        <v>0</v>
      </c>
      <c r="P30" s="180">
        <f>AVERAGE(D30:O30)</f>
        <v/>
      </c>
    </row>
  </sheetData>
  <mergeCells count="5">
    <mergeCell ref="A10:P10"/>
    <mergeCell ref="A5:P5"/>
    <mergeCell ref="A23:P23"/>
    <mergeCell ref="A3:P3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A8401A"/>
    <outlinePr summaryBelow="1" summaryRight="1"/>
    <pageSetUpPr fitToPage="0"/>
  </sheetPr>
  <dimension ref="A1:N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122" min="1" max="2"/>
    <col width="10" customWidth="1" style="122" min="3" max="3"/>
    <col width="11" customWidth="1" style="122" min="4" max="4"/>
    <col width="10" customWidth="1" style="122" min="5" max="5"/>
    <col width="11" customWidth="1" style="122" min="6" max="6"/>
    <col width="13" customWidth="1" style="122" min="7" max="7"/>
    <col width="10" customWidth="1" style="122" min="8" max="8"/>
    <col width="11" customWidth="1" style="122" min="9" max="9"/>
    <col width="14" customWidth="1" style="122" min="10" max="11"/>
    <col width="13" customWidth="1" style="122" min="12" max="12"/>
    <col width="18" customWidth="1" style="122" min="13" max="13"/>
    <col width="24" customWidth="1" style="122" min="14" max="14"/>
  </cols>
  <sheetData>
    <row r="1" ht="27.75" customHeight="1" s="123">
      <c r="A1" s="124" t="inlineStr">
        <is>
          <t>FERNCREST FLINT CREEK — PACE TRACKER (ROLLING LOG)  |  APPEND EVERY MONDAY</t>
        </is>
      </c>
    </row>
    <row r="2" ht="27.75" customHeight="1" s="123">
      <c r="A2" s="183" t="inlineStr">
        <is>
          <t>HOW TO USE: Every Monday, copy the 'TEMPLATE' block below the last entry and paste it as new rows. Enter As-of Date, On Books, LY Same Point, and ADR On Books. All other columns calculate. Over time this builds your pick-up curve — the most valuable dataset you will own.</t>
        </is>
      </c>
    </row>
    <row r="3" ht="31.5" customHeight="1" s="123">
      <c r="A3" s="129" t="inlineStr">
        <is>
          <t>As-of Date</t>
        </is>
      </c>
      <c r="B3" s="129" t="inlineStr">
        <is>
          <t>Arrival Month</t>
        </is>
      </c>
      <c r="C3" s="129" t="inlineStr">
        <is>
          <t>Weeks Out</t>
        </is>
      </c>
      <c r="D3" s="129" t="inlineStr">
        <is>
          <t>Nights Avail</t>
        </is>
      </c>
      <c r="E3" s="129" t="inlineStr">
        <is>
          <t>On Books</t>
        </is>
      </c>
      <c r="F3" s="129" t="inlineStr">
        <is>
          <t>Occ % Paced</t>
        </is>
      </c>
      <c r="G3" s="129" t="inlineStr">
        <is>
          <t>LY Same Point</t>
        </is>
      </c>
      <c r="H3" s="129" t="inlineStr">
        <is>
          <t>LY Occ %</t>
        </is>
      </c>
      <c r="I3" s="129" t="inlineStr">
        <is>
          <t>Budget Occ %</t>
        </is>
      </c>
      <c r="J3" s="129" t="inlineStr">
        <is>
          <t>Pace vs LY (pp)</t>
        </is>
      </c>
      <c r="K3" s="129" t="inlineStr">
        <is>
          <t>Pace vs Bud (pp)</t>
        </is>
      </c>
      <c r="L3" s="129" t="inlineStr">
        <is>
          <t>ADR On Books</t>
        </is>
      </c>
      <c r="M3" s="129" t="inlineStr">
        <is>
          <t>Pickup Since Last Wk</t>
        </is>
      </c>
      <c r="N3" s="129" t="inlineStr">
        <is>
          <t>Flag</t>
        </is>
      </c>
    </row>
    <row r="4" ht="15.75" customHeight="1" s="123">
      <c r="A4" s="184" t="inlineStr">
        <is>
          <t>▶  WEEK OF 2026-04-28  (Week 1 — first entry)</t>
        </is>
      </c>
    </row>
    <row r="5" ht="15.75" customHeight="1" s="123">
      <c r="A5" s="185" t="inlineStr">
        <is>
          <t>2026-04-28</t>
        </is>
      </c>
      <c r="B5" s="186" t="inlineStr">
        <is>
          <t>May 2026</t>
        </is>
      </c>
      <c r="C5" s="187" t="n">
        <v>4</v>
      </c>
      <c r="D5" s="188" t="n">
        <v>372</v>
      </c>
      <c r="E5" s="189" t="n">
        <v>0</v>
      </c>
      <c r="F5" s="190">
        <f>IFERROR(E5/D5,0)</f>
        <v/>
      </c>
      <c r="G5" s="189" t="n">
        <v>0</v>
      </c>
      <c r="H5" s="190">
        <f>IFERROR(G5/D5,0)</f>
        <v/>
      </c>
      <c r="I5" s="191" t="n">
        <v>0.3</v>
      </c>
      <c r="J5" s="190">
        <f>IFERROR(F5-H5,0)</f>
        <v/>
      </c>
      <c r="K5" s="190">
        <f>IFERROR(F5-I5,0)</f>
        <v/>
      </c>
      <c r="L5" s="179" t="n">
        <v>0</v>
      </c>
      <c r="M5" s="192" t="inlineStr">
        <is>
          <t>N/A — first entry</t>
        </is>
      </c>
      <c r="N5" s="193">
        <f>IF(E5=0,"— enter data",IF(K5&lt;-0.05,"⚠️ Behind budget — review rate",IF(K5&gt;0.05,"✅ Ahead — hold rate or push ADR",IF(J5&lt;-0.03,"↓ Soft vs LY — monitor","◼ On track"))))</f>
        <v/>
      </c>
    </row>
    <row r="6" ht="15.75" customHeight="1" s="123">
      <c r="A6" s="194" t="inlineStr">
        <is>
          <t>2026-04-28</t>
        </is>
      </c>
      <c r="B6" s="195" t="inlineStr">
        <is>
          <t>Jun 2026</t>
        </is>
      </c>
      <c r="C6" s="187" t="n">
        <v>8</v>
      </c>
      <c r="D6" s="188" t="n">
        <v>360</v>
      </c>
      <c r="E6" s="189" t="n">
        <v>0</v>
      </c>
      <c r="F6" s="196">
        <f>IFERROR(E6/D6,0)</f>
        <v/>
      </c>
      <c r="G6" s="189" t="n">
        <v>0</v>
      </c>
      <c r="H6" s="196">
        <f>IFERROR(G6/D6,0)</f>
        <v/>
      </c>
      <c r="I6" s="191" t="n">
        <v>0.3</v>
      </c>
      <c r="J6" s="196">
        <f>IFERROR(F6-H6,0)</f>
        <v/>
      </c>
      <c r="K6" s="196">
        <f>IFERROR(F6-I6,0)</f>
        <v/>
      </c>
      <c r="L6" s="179" t="n">
        <v>0</v>
      </c>
      <c r="M6" s="144" t="inlineStr">
        <is>
          <t>N/A — first entry</t>
        </is>
      </c>
      <c r="N6" s="197">
        <f>IF(E6=0,"— enter data",IF(K6&lt;-0.05,"⚠️ Behind budget — review rate",IF(K6&gt;0.05,"✅ Ahead — hold rate or push ADR",IF(J6&lt;-0.03,"↓ Soft vs LY — monitor","◼ On track"))))</f>
        <v/>
      </c>
    </row>
    <row r="7" ht="15.75" customHeight="1" s="123">
      <c r="A7" s="185" t="inlineStr">
        <is>
          <t>2026-04-28</t>
        </is>
      </c>
      <c r="B7" s="186" t="inlineStr">
        <is>
          <t>Jul 2026</t>
        </is>
      </c>
      <c r="C7" s="187" t="n">
        <v>13</v>
      </c>
      <c r="D7" s="188" t="n">
        <v>372</v>
      </c>
      <c r="E7" s="189" t="n">
        <v>0</v>
      </c>
      <c r="F7" s="190">
        <f>IFERROR(E7/D7,0)</f>
        <v/>
      </c>
      <c r="G7" s="189" t="n">
        <v>0</v>
      </c>
      <c r="H7" s="190">
        <f>IFERROR(G7/D7,0)</f>
        <v/>
      </c>
      <c r="I7" s="191" t="n">
        <v>0.4</v>
      </c>
      <c r="J7" s="190">
        <f>IFERROR(F7-H7,0)</f>
        <v/>
      </c>
      <c r="K7" s="190">
        <f>IFERROR(F7-I7,0)</f>
        <v/>
      </c>
      <c r="L7" s="179" t="n">
        <v>0</v>
      </c>
      <c r="M7" s="192" t="inlineStr">
        <is>
          <t>N/A — first entry</t>
        </is>
      </c>
      <c r="N7" s="193">
        <f>IF(E7=0,"— enter data",IF(K7&lt;-0.05,"⚠️ Behind budget — review rate",IF(K7&gt;0.05,"✅ Ahead — hold rate or push ADR",IF(J7&lt;-0.03,"↓ Soft vs LY — monitor","◼ On track"))))</f>
        <v/>
      </c>
    </row>
    <row r="8" ht="15.75" customHeight="1" s="123">
      <c r="A8" s="194" t="inlineStr">
        <is>
          <t>2026-04-28</t>
        </is>
      </c>
      <c r="B8" s="195" t="inlineStr">
        <is>
          <t>Aug 2026</t>
        </is>
      </c>
      <c r="C8" s="187" t="n">
        <v>17</v>
      </c>
      <c r="D8" s="188" t="n">
        <v>372</v>
      </c>
      <c r="E8" s="189" t="n">
        <v>0</v>
      </c>
      <c r="F8" s="196">
        <f>IFERROR(E8/D8,0)</f>
        <v/>
      </c>
      <c r="G8" s="189" t="n">
        <v>0</v>
      </c>
      <c r="H8" s="196">
        <f>IFERROR(G8/D8,0)</f>
        <v/>
      </c>
      <c r="I8" s="191" t="n">
        <v>0.55</v>
      </c>
      <c r="J8" s="196">
        <f>IFERROR(F8-H8,0)</f>
        <v/>
      </c>
      <c r="K8" s="196">
        <f>IFERROR(F8-I8,0)</f>
        <v/>
      </c>
      <c r="L8" s="179" t="n">
        <v>0</v>
      </c>
      <c r="M8" s="144" t="inlineStr">
        <is>
          <t>N/A — first entry</t>
        </is>
      </c>
      <c r="N8" s="197">
        <f>IF(E8=0,"— enter data",IF(K8&lt;-0.05,"⚠️ Behind budget — review rate",IF(K8&gt;0.05,"✅ Ahead — hold rate or push ADR",IF(J8&lt;-0.03,"↓ Soft vs LY — monitor","◼ On track"))))</f>
        <v/>
      </c>
    </row>
    <row r="9" ht="15.75" customHeight="1" s="123">
      <c r="A9" s="185" t="inlineStr">
        <is>
          <t>2026-04-28</t>
        </is>
      </c>
      <c r="B9" s="186" t="inlineStr">
        <is>
          <t>Sep 2026</t>
        </is>
      </c>
      <c r="C9" s="187" t="n">
        <v>21</v>
      </c>
      <c r="D9" s="188" t="n">
        <v>360</v>
      </c>
      <c r="E9" s="189" t="n">
        <v>0</v>
      </c>
      <c r="F9" s="190">
        <f>IFERROR(E9/D9,0)</f>
        <v/>
      </c>
      <c r="G9" s="189" t="n">
        <v>0</v>
      </c>
      <c r="H9" s="190">
        <f>IFERROR(G9/D9,0)</f>
        <v/>
      </c>
      <c r="I9" s="191" t="n">
        <v>0.2</v>
      </c>
      <c r="J9" s="190">
        <f>IFERROR(F9-H9,0)</f>
        <v/>
      </c>
      <c r="K9" s="190">
        <f>IFERROR(F9-I9,0)</f>
        <v/>
      </c>
      <c r="L9" s="179" t="n">
        <v>0</v>
      </c>
      <c r="M9" s="192" t="inlineStr">
        <is>
          <t>N/A — first entry</t>
        </is>
      </c>
      <c r="N9" s="193">
        <f>IF(E9=0,"— enter data",IF(K9&lt;-0.05,"⚠️ Behind budget — review rate",IF(K9&gt;0.05,"✅ Ahead — hold rate or push ADR",IF(J9&lt;-0.03,"↓ Soft vs LY — monitor","◼ On track"))))</f>
        <v/>
      </c>
    </row>
    <row r="10" ht="15.75" customHeight="1" s="123">
      <c r="A10" s="194" t="inlineStr">
        <is>
          <t>2026-04-28</t>
        </is>
      </c>
      <c r="B10" s="195" t="inlineStr">
        <is>
          <t>Oct 2026</t>
        </is>
      </c>
      <c r="C10" s="187" t="n">
        <v>26</v>
      </c>
      <c r="D10" s="188" t="n">
        <v>372</v>
      </c>
      <c r="E10" s="189" t="n">
        <v>0</v>
      </c>
      <c r="F10" s="196">
        <f>IFERROR(E10/D10,0)</f>
        <v/>
      </c>
      <c r="G10" s="189" t="n">
        <v>0</v>
      </c>
      <c r="H10" s="196">
        <f>IFERROR(G10/D10,0)</f>
        <v/>
      </c>
      <c r="I10" s="191" t="n">
        <v>0.5</v>
      </c>
      <c r="J10" s="196">
        <f>IFERROR(F10-H10,0)</f>
        <v/>
      </c>
      <c r="K10" s="196">
        <f>IFERROR(F10-I10,0)</f>
        <v/>
      </c>
      <c r="L10" s="179" t="n">
        <v>0</v>
      </c>
      <c r="M10" s="144" t="inlineStr">
        <is>
          <t>N/A — first entry</t>
        </is>
      </c>
      <c r="N10" s="197">
        <f>IF(E10=0,"— enter data",IF(K10&lt;-0.05,"⚠️ Behind budget — review rate",IF(K10&gt;0.05,"✅ Ahead — hold rate or push ADR",IF(J10&lt;-0.03,"↓ Soft vs LY — monitor","◼ On track"))))</f>
        <v/>
      </c>
    </row>
    <row r="11" ht="15.75" customHeight="1" s="123">
      <c r="A11" s="185" t="inlineStr">
        <is>
          <t>2026-04-28</t>
        </is>
      </c>
      <c r="B11" s="186" t="inlineStr">
        <is>
          <t>Nov 2026</t>
        </is>
      </c>
      <c r="C11" s="187" t="n">
        <v>30</v>
      </c>
      <c r="D11" s="188" t="n">
        <v>360</v>
      </c>
      <c r="E11" s="189" t="n">
        <v>0</v>
      </c>
      <c r="F11" s="190">
        <f>IFERROR(E11/D11,0)</f>
        <v/>
      </c>
      <c r="G11" s="189" t="n">
        <v>0</v>
      </c>
      <c r="H11" s="190">
        <f>IFERROR(G11/D11,0)</f>
        <v/>
      </c>
      <c r="I11" s="191" t="n">
        <v>0.2</v>
      </c>
      <c r="J11" s="190">
        <f>IFERROR(F11-H11,0)</f>
        <v/>
      </c>
      <c r="K11" s="190">
        <f>IFERROR(F11-I11,0)</f>
        <v/>
      </c>
      <c r="L11" s="179" t="n">
        <v>0</v>
      </c>
      <c r="M11" s="192" t="inlineStr">
        <is>
          <t>N/A — first entry</t>
        </is>
      </c>
      <c r="N11" s="193">
        <f>IF(E11=0,"— enter data",IF(K11&lt;-0.05,"⚠️ Behind budget — review rate",IF(K11&gt;0.05,"✅ Ahead — hold rate or push ADR",IF(J11&lt;-0.03,"↓ Soft vs LY — monitor","◼ On track"))))</f>
        <v/>
      </c>
    </row>
    <row r="12" ht="15.75" customHeight="1" s="123">
      <c r="A12" s="194" t="inlineStr">
        <is>
          <t>2026-04-28</t>
        </is>
      </c>
      <c r="B12" s="195" t="inlineStr">
        <is>
          <t>Dec 2026</t>
        </is>
      </c>
      <c r="C12" s="187" t="n">
        <v>35</v>
      </c>
      <c r="D12" s="188" t="n">
        <v>372</v>
      </c>
      <c r="E12" s="189" t="n">
        <v>0</v>
      </c>
      <c r="F12" s="196">
        <f>IFERROR(E12/D12,0)</f>
        <v/>
      </c>
      <c r="G12" s="189" t="n">
        <v>0</v>
      </c>
      <c r="H12" s="196">
        <f>IFERROR(G12/D12,0)</f>
        <v/>
      </c>
      <c r="I12" s="191" t="n">
        <v>0.1</v>
      </c>
      <c r="J12" s="196">
        <f>IFERROR(F12-H12,0)</f>
        <v/>
      </c>
      <c r="K12" s="196">
        <f>IFERROR(F12-I12,0)</f>
        <v/>
      </c>
      <c r="L12" s="179" t="n">
        <v>0</v>
      </c>
      <c r="M12" s="144" t="inlineStr">
        <is>
          <t>N/A — first entry</t>
        </is>
      </c>
      <c r="N12" s="197">
        <f>IF(E12=0,"— enter data",IF(K12&lt;-0.05,"⚠️ Behind budget — review rate",IF(K12&gt;0.05,"✅ Ahead — hold rate or push ADR",IF(J12&lt;-0.03,"↓ Soft vs LY — monitor","◼ On track"))))</f>
        <v/>
      </c>
    </row>
    <row r="13" ht="9.75" customHeight="1" s="123"/>
    <row r="14" ht="15.75" customHeight="1" s="123">
      <c r="A14" s="198" t="inlineStr">
        <is>
          <t>▶  TEMPLATE — copy rows below, paste after last entry block, update As-of Date</t>
        </is>
      </c>
    </row>
    <row r="15" ht="15.75" customHeight="1" s="123">
      <c r="A15" s="199" t="inlineStr">
        <is>
          <t>YYYY-MM-DD</t>
        </is>
      </c>
      <c r="B15" s="200" t="inlineStr">
        <is>
          <t>May 20XX</t>
        </is>
      </c>
      <c r="C15" s="201" t="n">
        <v>0</v>
      </c>
      <c r="D15" s="188" t="n">
        <v>372</v>
      </c>
      <c r="E15" s="189" t="n">
        <v>0</v>
      </c>
      <c r="F15" s="202">
        <f>IFERROR(E15/D15,0)</f>
        <v/>
      </c>
      <c r="G15" s="189" t="n">
        <v>0</v>
      </c>
      <c r="H15" s="202">
        <f>IFERROR(G15/D15,0)</f>
        <v/>
      </c>
      <c r="I15" s="191" t="n">
        <v>0.3</v>
      </c>
      <c r="J15" s="202">
        <f>IFERROR(F15-H15,0)</f>
        <v/>
      </c>
      <c r="K15" s="202">
        <f>IFERROR(F15-I15,0)</f>
        <v/>
      </c>
      <c r="L15" s="179" t="n">
        <v>0</v>
      </c>
      <c r="M15" s="203">
        <f>IFERROR(E15-VLOOKUP(B15,B$5:E14,4,0),"—")</f>
        <v/>
      </c>
      <c r="N15" s="204">
        <f>IF(E15=0,"— enter data",IF(K15&lt;-0.05,"⚠️ Behind budget — review rate",IF(K15&gt;0.05,"✅ Ahead — hold rate or push ADR",IF(J15&lt;-0.03,"↓ Soft vs LY — monitor","◼ On track"))))</f>
        <v/>
      </c>
    </row>
    <row r="16" ht="15.75" customHeight="1" s="123">
      <c r="A16" s="199" t="inlineStr">
        <is>
          <t>YYYY-MM-DD</t>
        </is>
      </c>
      <c r="B16" s="200" t="inlineStr">
        <is>
          <t>Jun 20XX</t>
        </is>
      </c>
      <c r="C16" s="201" t="n">
        <v>0</v>
      </c>
      <c r="D16" s="188" t="n">
        <v>360</v>
      </c>
      <c r="E16" s="189" t="n">
        <v>0</v>
      </c>
      <c r="F16" s="202">
        <f>IFERROR(E16/D16,0)</f>
        <v/>
      </c>
      <c r="G16" s="189" t="n">
        <v>0</v>
      </c>
      <c r="H16" s="202">
        <f>IFERROR(G16/D16,0)</f>
        <v/>
      </c>
      <c r="I16" s="191" t="n">
        <v>0.3</v>
      </c>
      <c r="J16" s="202">
        <f>IFERROR(F16-H16,0)</f>
        <v/>
      </c>
      <c r="K16" s="202">
        <f>IFERROR(F16-I16,0)</f>
        <v/>
      </c>
      <c r="L16" s="179" t="n">
        <v>0</v>
      </c>
      <c r="M16" s="203">
        <f>IFERROR(E16-VLOOKUP(B16,B$5:E15,4,0),"—")</f>
        <v/>
      </c>
      <c r="N16" s="204">
        <f>IF(E16=0,"— enter data",IF(K16&lt;-0.05,"⚠️ Behind budget — review rate",IF(K16&gt;0.05,"✅ Ahead — hold rate or push ADR",IF(J16&lt;-0.03,"↓ Soft vs LY — monitor","◼ On track"))))</f>
        <v/>
      </c>
    </row>
    <row r="17" ht="15.75" customHeight="1" s="123">
      <c r="A17" s="199" t="inlineStr">
        <is>
          <t>YYYY-MM-DD</t>
        </is>
      </c>
      <c r="B17" s="200" t="inlineStr">
        <is>
          <t>Jul 20XX</t>
        </is>
      </c>
      <c r="C17" s="201" t="n">
        <v>0</v>
      </c>
      <c r="D17" s="188" t="n">
        <v>372</v>
      </c>
      <c r="E17" s="189" t="n">
        <v>0</v>
      </c>
      <c r="F17" s="202">
        <f>IFERROR(E17/D17,0)</f>
        <v/>
      </c>
      <c r="G17" s="189" t="n">
        <v>0</v>
      </c>
      <c r="H17" s="202">
        <f>IFERROR(G17/D17,0)</f>
        <v/>
      </c>
      <c r="I17" s="191" t="n">
        <v>0.4</v>
      </c>
      <c r="J17" s="202">
        <f>IFERROR(F17-H17,0)</f>
        <v/>
      </c>
      <c r="K17" s="202">
        <f>IFERROR(F17-I17,0)</f>
        <v/>
      </c>
      <c r="L17" s="179" t="n">
        <v>0</v>
      </c>
      <c r="M17" s="203">
        <f>IFERROR(E17-VLOOKUP(B17,B$5:E16,4,0),"—")</f>
        <v/>
      </c>
      <c r="N17" s="204">
        <f>IF(E17=0,"— enter data",IF(K17&lt;-0.05,"⚠️ Behind budget — review rate",IF(K17&gt;0.05,"✅ Ahead — hold rate or push ADR",IF(J17&lt;-0.03,"↓ Soft vs LY — monitor","◼ On track"))))</f>
        <v/>
      </c>
    </row>
    <row r="18" ht="15.75" customHeight="1" s="123">
      <c r="A18" s="199" t="inlineStr">
        <is>
          <t>YYYY-MM-DD</t>
        </is>
      </c>
      <c r="B18" s="200" t="inlineStr">
        <is>
          <t>Aug 20XX</t>
        </is>
      </c>
      <c r="C18" s="201" t="n">
        <v>0</v>
      </c>
      <c r="D18" s="188" t="n">
        <v>372</v>
      </c>
      <c r="E18" s="189" t="n">
        <v>0</v>
      </c>
      <c r="F18" s="202">
        <f>IFERROR(E18/D18,0)</f>
        <v/>
      </c>
      <c r="G18" s="189" t="n">
        <v>0</v>
      </c>
      <c r="H18" s="202">
        <f>IFERROR(G18/D18,0)</f>
        <v/>
      </c>
      <c r="I18" s="191" t="n">
        <v>0.55</v>
      </c>
      <c r="J18" s="202">
        <f>IFERROR(F18-H18,0)</f>
        <v/>
      </c>
      <c r="K18" s="202">
        <f>IFERROR(F18-I18,0)</f>
        <v/>
      </c>
      <c r="L18" s="179" t="n">
        <v>0</v>
      </c>
      <c r="M18" s="203">
        <f>IFERROR(E18-VLOOKUP(B18,B$5:E17,4,0),"—")</f>
        <v/>
      </c>
      <c r="N18" s="204">
        <f>IF(E18=0,"— enter data",IF(K18&lt;-0.05,"⚠️ Behind budget — review rate",IF(K18&gt;0.05,"✅ Ahead — hold rate or push ADR",IF(J18&lt;-0.03,"↓ Soft vs LY — monitor","◼ On track"))))</f>
        <v/>
      </c>
    </row>
    <row r="19" ht="15.75" customHeight="1" s="123">
      <c r="A19" s="199" t="inlineStr">
        <is>
          <t>YYYY-MM-DD</t>
        </is>
      </c>
      <c r="B19" s="200" t="inlineStr">
        <is>
          <t>Sep 20XX</t>
        </is>
      </c>
      <c r="C19" s="201" t="n">
        <v>0</v>
      </c>
      <c r="D19" s="188" t="n">
        <v>360</v>
      </c>
      <c r="E19" s="189" t="n">
        <v>0</v>
      </c>
      <c r="F19" s="202">
        <f>IFERROR(E19/D19,0)</f>
        <v/>
      </c>
      <c r="G19" s="189" t="n">
        <v>0</v>
      </c>
      <c r="H19" s="202">
        <f>IFERROR(G19/D19,0)</f>
        <v/>
      </c>
      <c r="I19" s="191" t="n">
        <v>0.2</v>
      </c>
      <c r="J19" s="202">
        <f>IFERROR(F19-H19,0)</f>
        <v/>
      </c>
      <c r="K19" s="202">
        <f>IFERROR(F19-I19,0)</f>
        <v/>
      </c>
      <c r="L19" s="179" t="n">
        <v>0</v>
      </c>
      <c r="M19" s="203">
        <f>IFERROR(E19-VLOOKUP(B19,B$5:E18,4,0),"—")</f>
        <v/>
      </c>
      <c r="N19" s="204">
        <f>IF(E19=0,"— enter data",IF(K19&lt;-0.05,"⚠️ Behind budget — review rate",IF(K19&gt;0.05,"✅ Ahead — hold rate or push ADR",IF(J19&lt;-0.03,"↓ Soft vs LY — monitor","◼ On track"))))</f>
        <v/>
      </c>
    </row>
    <row r="20" ht="15.75" customHeight="1" s="123">
      <c r="A20" s="199" t="inlineStr">
        <is>
          <t>YYYY-MM-DD</t>
        </is>
      </c>
      <c r="B20" s="200" t="inlineStr">
        <is>
          <t>Oct 20XX</t>
        </is>
      </c>
      <c r="C20" s="201" t="n">
        <v>0</v>
      </c>
      <c r="D20" s="188" t="n">
        <v>372</v>
      </c>
      <c r="E20" s="189" t="n">
        <v>0</v>
      </c>
      <c r="F20" s="202">
        <f>IFERROR(E20/D20,0)</f>
        <v/>
      </c>
      <c r="G20" s="189" t="n">
        <v>0</v>
      </c>
      <c r="H20" s="202">
        <f>IFERROR(G20/D20,0)</f>
        <v/>
      </c>
      <c r="I20" s="191" t="n">
        <v>0.5</v>
      </c>
      <c r="J20" s="202">
        <f>IFERROR(F20-H20,0)</f>
        <v/>
      </c>
      <c r="K20" s="202">
        <f>IFERROR(F20-I20,0)</f>
        <v/>
      </c>
      <c r="L20" s="179" t="n">
        <v>0</v>
      </c>
      <c r="M20" s="203">
        <f>IFERROR(E20-VLOOKUP(B20,B$5:E19,4,0),"—")</f>
        <v/>
      </c>
      <c r="N20" s="204">
        <f>IF(E20=0,"— enter data",IF(K20&lt;-0.05,"⚠️ Behind budget — review rate",IF(K20&gt;0.05,"✅ Ahead — hold rate or push ADR",IF(J20&lt;-0.03,"↓ Soft vs LY — monitor","◼ On track"))))</f>
        <v/>
      </c>
    </row>
    <row r="21" ht="15.75" customHeight="1" s="123">
      <c r="A21" s="199" t="inlineStr">
        <is>
          <t>YYYY-MM-DD</t>
        </is>
      </c>
      <c r="B21" s="200" t="inlineStr">
        <is>
          <t>Nov 20XX</t>
        </is>
      </c>
      <c r="C21" s="201" t="n">
        <v>0</v>
      </c>
      <c r="D21" s="188" t="n">
        <v>360</v>
      </c>
      <c r="E21" s="189" t="n">
        <v>0</v>
      </c>
      <c r="F21" s="202">
        <f>IFERROR(E21/D21,0)</f>
        <v/>
      </c>
      <c r="G21" s="189" t="n">
        <v>0</v>
      </c>
      <c r="H21" s="202">
        <f>IFERROR(G21/D21,0)</f>
        <v/>
      </c>
      <c r="I21" s="191" t="n">
        <v>0.2</v>
      </c>
      <c r="J21" s="202">
        <f>IFERROR(F21-H21,0)</f>
        <v/>
      </c>
      <c r="K21" s="202">
        <f>IFERROR(F21-I21,0)</f>
        <v/>
      </c>
      <c r="L21" s="179" t="n">
        <v>0</v>
      </c>
      <c r="M21" s="203">
        <f>IFERROR(E21-VLOOKUP(B21,B$5:E20,4,0),"—")</f>
        <v/>
      </c>
      <c r="N21" s="204">
        <f>IF(E21=0,"— enter data",IF(K21&lt;-0.05,"⚠️ Behind budget — review rate",IF(K21&gt;0.05,"✅ Ahead — hold rate or push ADR",IF(J21&lt;-0.03,"↓ Soft vs LY — monitor","◼ On track"))))</f>
        <v/>
      </c>
    </row>
    <row r="22" ht="15.75" customHeight="1" s="123">
      <c r="A22" s="199" t="inlineStr">
        <is>
          <t>YYYY-MM-DD</t>
        </is>
      </c>
      <c r="B22" s="200" t="inlineStr">
        <is>
          <t>Dec 20XX</t>
        </is>
      </c>
      <c r="C22" s="201" t="n">
        <v>0</v>
      </c>
      <c r="D22" s="188" t="n">
        <v>372</v>
      </c>
      <c r="E22" s="189" t="n">
        <v>0</v>
      </c>
      <c r="F22" s="202">
        <f>IFERROR(E22/D22,0)</f>
        <v/>
      </c>
      <c r="G22" s="189" t="n">
        <v>0</v>
      </c>
      <c r="H22" s="202">
        <f>IFERROR(G22/D22,0)</f>
        <v/>
      </c>
      <c r="I22" s="191" t="n">
        <v>0.1</v>
      </c>
      <c r="J22" s="202">
        <f>IFERROR(F22-H22,0)</f>
        <v/>
      </c>
      <c r="K22" s="202">
        <f>IFERROR(F22-I22,0)</f>
        <v/>
      </c>
      <c r="L22" s="179" t="n">
        <v>0</v>
      </c>
      <c r="M22" s="203">
        <f>IFERROR(E22-VLOOKUP(B22,B$5:E21,4,0),"—")</f>
        <v/>
      </c>
      <c r="N22" s="204">
        <f>IF(E22=0,"— enter data",IF(K22&lt;-0.05,"⚠️ Behind budget — review rate",IF(K22&gt;0.05,"✅ Ahead — hold rate or push ADR",IF(J22&lt;-0.03,"↓ Soft vs LY — monitor","◼ On track"))))</f>
        <v/>
      </c>
    </row>
    <row r="23"/>
    <row r="24" ht="15" customHeight="1" s="123">
      <c r="A24" s="205" t="inlineStr">
        <is>
          <t>▶  WEEK OF 2026-05-01  (script auto-populated)</t>
        </is>
      </c>
    </row>
    <row r="25" ht="15" customHeight="1" s="123">
      <c r="A25" s="122" t="inlineStr">
        <is>
          <t>2026-05-01</t>
        </is>
      </c>
      <c r="B25" s="122" t="inlineStr">
        <is>
          <t>May 2026</t>
        </is>
      </c>
      <c r="C25" s="122" t="n">
        <v>0</v>
      </c>
      <c r="D25" s="122" t="n">
        <v>372</v>
      </c>
      <c r="E25" s="122" t="n">
        <v>48</v>
      </c>
      <c r="F25" s="206">
        <f>IFERROR(E25/D25,0)</f>
        <v/>
      </c>
      <c r="G25" s="122" t="n">
        <v>0</v>
      </c>
      <c r="H25" s="206">
        <f>IFERROR(G25/D25,0)</f>
        <v/>
      </c>
      <c r="I25" s="206" t="n">
        <v>0.3</v>
      </c>
      <c r="J25" s="206">
        <f>IFERROR(F25-H25,0)</f>
        <v/>
      </c>
      <c r="K25" s="206">
        <f>IFERROR(F25-I25,0)</f>
        <v/>
      </c>
      <c r="L25" s="207" t="n">
        <v>301.24</v>
      </c>
      <c r="M25" s="122">
        <f>IFERROR(E25-VLOOKUP(B25,B$5:E24,4,0),"— first entry")</f>
        <v/>
      </c>
      <c r="N25" s="122">
        <f>IF(E25=0,"— no bookings yet",IF(K25&lt;-0.05,"⚠️ Behind budget — review rate",IF(K25&gt;0.05,"✅ Ahead — hold rate or push ADR",IF(J25&lt;-0.03,"↓ Soft vs LY — monitor","◼ On track"))))</f>
        <v/>
      </c>
    </row>
    <row r="26" ht="15" customHeight="1" s="123">
      <c r="A26" s="122" t="inlineStr">
        <is>
          <t>2026-05-01</t>
        </is>
      </c>
      <c r="B26" s="122" t="inlineStr">
        <is>
          <t>Jun 2026</t>
        </is>
      </c>
      <c r="C26" s="122" t="n">
        <v>4</v>
      </c>
      <c r="D26" s="122" t="n">
        <v>360</v>
      </c>
      <c r="E26" s="122" t="n">
        <v>49</v>
      </c>
      <c r="F26" s="206">
        <f>IFERROR(E26/D26,0)</f>
        <v/>
      </c>
      <c r="G26" s="122" t="n">
        <v>0</v>
      </c>
      <c r="H26" s="206">
        <f>IFERROR(G26/D26,0)</f>
        <v/>
      </c>
      <c r="I26" s="206" t="n">
        <v>0.3</v>
      </c>
      <c r="J26" s="206">
        <f>IFERROR(F26-H26,0)</f>
        <v/>
      </c>
      <c r="K26" s="206">
        <f>IFERROR(F26-I26,0)</f>
        <v/>
      </c>
      <c r="L26" s="207" t="n">
        <v>254.48</v>
      </c>
      <c r="M26" s="122">
        <f>IFERROR(E26-VLOOKUP(B26,B$5:E25,4,0),"— first entry")</f>
        <v/>
      </c>
      <c r="N26" s="122">
        <f>IF(E26=0,"— no bookings yet",IF(K26&lt;-0.05,"⚠️ Behind budget — review rate",IF(K26&gt;0.05,"✅ Ahead — hold rate or push ADR",IF(J26&lt;-0.03,"↓ Soft vs LY — monitor","◼ On track"))))</f>
        <v/>
      </c>
    </row>
    <row r="27" ht="15" customHeight="1" s="123">
      <c r="A27" s="122" t="inlineStr">
        <is>
          <t>2026-05-01</t>
        </is>
      </c>
      <c r="B27" s="122" t="inlineStr">
        <is>
          <t>Jul 2026</t>
        </is>
      </c>
      <c r="C27" s="122" t="n">
        <v>8</v>
      </c>
      <c r="D27" s="122" t="n">
        <v>372</v>
      </c>
      <c r="E27" s="122" t="n">
        <v>10</v>
      </c>
      <c r="F27" s="206">
        <f>IFERROR(E27/D27,0)</f>
        <v/>
      </c>
      <c r="G27" s="122" t="n">
        <v>0</v>
      </c>
      <c r="H27" s="206">
        <f>IFERROR(G27/D27,0)</f>
        <v/>
      </c>
      <c r="I27" s="206" t="n">
        <v>0.4</v>
      </c>
      <c r="J27" s="206">
        <f>IFERROR(F27-H27,0)</f>
        <v/>
      </c>
      <c r="K27" s="206">
        <f>IFERROR(F27-I27,0)</f>
        <v/>
      </c>
      <c r="L27" s="207" t="n">
        <v>395</v>
      </c>
      <c r="M27" s="122">
        <f>IFERROR(E27-VLOOKUP(B27,B$5:E26,4,0),"— first entry")</f>
        <v/>
      </c>
      <c r="N27" s="122">
        <f>IF(E27=0,"— no bookings yet",IF(K27&lt;-0.05,"⚠️ Behind budget — review rate",IF(K27&gt;0.05,"✅ Ahead — hold rate or push ADR",IF(J27&lt;-0.03,"↓ Soft vs LY — monitor","◼ On track"))))</f>
        <v/>
      </c>
    </row>
    <row r="28" ht="15" customHeight="1" s="123">
      <c r="A28" s="122" t="inlineStr">
        <is>
          <t>2026-05-01</t>
        </is>
      </c>
      <c r="B28" s="122" t="inlineStr">
        <is>
          <t>Aug 2026</t>
        </is>
      </c>
      <c r="C28" s="122" t="n">
        <v>13</v>
      </c>
      <c r="D28" s="122" t="n">
        <v>372</v>
      </c>
      <c r="E28" s="122" t="n">
        <v>0</v>
      </c>
      <c r="F28" s="206">
        <f>IFERROR(E28/D28,0)</f>
        <v/>
      </c>
      <c r="G28" s="122" t="n">
        <v>0</v>
      </c>
      <c r="H28" s="206">
        <f>IFERROR(G28/D28,0)</f>
        <v/>
      </c>
      <c r="I28" s="206" t="n">
        <v>0.55</v>
      </c>
      <c r="J28" s="206">
        <f>IFERROR(F28-H28,0)</f>
        <v/>
      </c>
      <c r="K28" s="206">
        <f>IFERROR(F28-I28,0)</f>
        <v/>
      </c>
      <c r="L28" s="207" t="n">
        <v>0</v>
      </c>
      <c r="M28" s="122">
        <f>IFERROR(E28-VLOOKUP(B28,B$5:E27,4,0),"— first entry")</f>
        <v/>
      </c>
      <c r="N28" s="122">
        <f>IF(E28=0,"— no bookings yet",IF(K28&lt;-0.05,"⚠️ Behind budget — review rate",IF(K28&gt;0.05,"✅ Ahead — hold rate or push ADR",IF(J28&lt;-0.03,"↓ Soft vs LY — monitor","◼ On track"))))</f>
        <v/>
      </c>
    </row>
    <row r="29" ht="15" customHeight="1" s="123">
      <c r="A29" s="122" t="inlineStr">
        <is>
          <t>2026-05-01</t>
        </is>
      </c>
      <c r="B29" s="122" t="inlineStr">
        <is>
          <t>Sep 2026</t>
        </is>
      </c>
      <c r="C29" s="122" t="n">
        <v>17</v>
      </c>
      <c r="D29" s="122" t="n">
        <v>360</v>
      </c>
      <c r="E29" s="122" t="n">
        <v>0</v>
      </c>
      <c r="F29" s="206">
        <f>IFERROR(E29/D29,0)</f>
        <v/>
      </c>
      <c r="G29" s="122" t="n">
        <v>0</v>
      </c>
      <c r="H29" s="206">
        <f>IFERROR(G29/D29,0)</f>
        <v/>
      </c>
      <c r="I29" s="206" t="n">
        <v>0.2</v>
      </c>
      <c r="J29" s="206">
        <f>IFERROR(F29-H29,0)</f>
        <v/>
      </c>
      <c r="K29" s="206">
        <f>IFERROR(F29-I29,0)</f>
        <v/>
      </c>
      <c r="L29" s="207" t="n">
        <v>0</v>
      </c>
      <c r="M29" s="122">
        <f>IFERROR(E29-VLOOKUP(B29,B$5:E28,4,0),"— first entry")</f>
        <v/>
      </c>
      <c r="N29" s="122">
        <f>IF(E29=0,"— no bookings yet",IF(K29&lt;-0.05,"⚠️ Behind budget — review rate",IF(K29&gt;0.05,"✅ Ahead — hold rate or push ADR",IF(J29&lt;-0.03,"↓ Soft vs LY — monitor","◼ On track"))))</f>
        <v/>
      </c>
    </row>
    <row r="30"/>
    <row r="31">
      <c r="A31" s="208" t="inlineStr">
        <is>
          <t>▶  WEEK OF 2026-05-01  (script auto-populated)</t>
        </is>
      </c>
    </row>
    <row r="32">
      <c r="A32" s="122" t="inlineStr">
        <is>
          <t>2026-05-01</t>
        </is>
      </c>
      <c r="B32" s="122" t="inlineStr">
        <is>
          <t>May 2026</t>
        </is>
      </c>
      <c r="C32" s="122" t="n">
        <v>0</v>
      </c>
      <c r="D32" s="122" t="n">
        <v>372</v>
      </c>
      <c r="E32" s="122" t="n">
        <v>48</v>
      </c>
      <c r="F32" s="209">
        <f>IFERROR(E32/D32,0)</f>
        <v/>
      </c>
      <c r="G32" s="122" t="n">
        <v>0</v>
      </c>
      <c r="H32" s="209">
        <f>IFERROR(G32/D32,0)</f>
        <v/>
      </c>
      <c r="I32" s="209" t="n">
        <v>0.3</v>
      </c>
      <c r="J32" s="209">
        <f>IFERROR(F32-H32,0)</f>
        <v/>
      </c>
      <c r="K32" s="209">
        <f>IFERROR(F32-I32,0)</f>
        <v/>
      </c>
      <c r="L32" s="210" t="n">
        <v>301.24</v>
      </c>
      <c r="M32" s="122">
        <f>IFERROR(E32-VLOOKUP(B32,B$5:E31,4,0),"— first entry")</f>
        <v/>
      </c>
      <c r="N32" s="122">
        <f>IF(E32=0,"— no bookings yet",IF(K32&lt;-0.05,"⚠️ Behind budget — review rate",IF(K32&gt;0.05,"✅ Ahead — hold rate or push ADR",IF(J32&lt;-0.03,"↓ Soft vs LY — monitor","◼ On track"))))</f>
        <v/>
      </c>
    </row>
    <row r="33">
      <c r="A33" s="122" t="inlineStr">
        <is>
          <t>2026-05-01</t>
        </is>
      </c>
      <c r="B33" s="122" t="inlineStr">
        <is>
          <t>Jun 2026</t>
        </is>
      </c>
      <c r="C33" s="122" t="n">
        <v>4</v>
      </c>
      <c r="D33" s="122" t="n">
        <v>360</v>
      </c>
      <c r="E33" s="122" t="n">
        <v>49</v>
      </c>
      <c r="F33" s="209">
        <f>IFERROR(E33/D33,0)</f>
        <v/>
      </c>
      <c r="G33" s="122" t="n">
        <v>0</v>
      </c>
      <c r="H33" s="209">
        <f>IFERROR(G33/D33,0)</f>
        <v/>
      </c>
      <c r="I33" s="209" t="n">
        <v>0.3</v>
      </c>
      <c r="J33" s="209">
        <f>IFERROR(F33-H33,0)</f>
        <v/>
      </c>
      <c r="K33" s="209">
        <f>IFERROR(F33-I33,0)</f>
        <v/>
      </c>
      <c r="L33" s="210" t="n">
        <v>254.48</v>
      </c>
      <c r="M33" s="122">
        <f>IFERROR(E33-VLOOKUP(B33,B$5:E32,4,0),"— first entry")</f>
        <v/>
      </c>
      <c r="N33" s="122">
        <f>IF(E33=0,"— no bookings yet",IF(K33&lt;-0.05,"⚠️ Behind budget — review rate",IF(K33&gt;0.05,"✅ Ahead — hold rate or push ADR",IF(J33&lt;-0.03,"↓ Soft vs LY — monitor","◼ On track"))))</f>
        <v/>
      </c>
    </row>
    <row r="34">
      <c r="A34" s="122" t="inlineStr">
        <is>
          <t>2026-05-01</t>
        </is>
      </c>
      <c r="B34" s="122" t="inlineStr">
        <is>
          <t>Jul 2026</t>
        </is>
      </c>
      <c r="C34" s="122" t="n">
        <v>8</v>
      </c>
      <c r="D34" s="122" t="n">
        <v>372</v>
      </c>
      <c r="E34" s="122" t="n">
        <v>10</v>
      </c>
      <c r="F34" s="209">
        <f>IFERROR(E34/D34,0)</f>
        <v/>
      </c>
      <c r="G34" s="122" t="n">
        <v>0</v>
      </c>
      <c r="H34" s="209">
        <f>IFERROR(G34/D34,0)</f>
        <v/>
      </c>
      <c r="I34" s="209" t="n">
        <v>0.4</v>
      </c>
      <c r="J34" s="209">
        <f>IFERROR(F34-H34,0)</f>
        <v/>
      </c>
      <c r="K34" s="209">
        <f>IFERROR(F34-I34,0)</f>
        <v/>
      </c>
      <c r="L34" s="210" t="n">
        <v>395</v>
      </c>
      <c r="M34" s="122">
        <f>IFERROR(E34-VLOOKUP(B34,B$5:E33,4,0),"— first entry")</f>
        <v/>
      </c>
      <c r="N34" s="122">
        <f>IF(E34=0,"— no bookings yet",IF(K34&lt;-0.05,"⚠️ Behind budget — review rate",IF(K34&gt;0.05,"✅ Ahead — hold rate or push ADR",IF(J34&lt;-0.03,"↓ Soft vs LY — monitor","◼ On track"))))</f>
        <v/>
      </c>
    </row>
    <row r="35">
      <c r="A35" s="122" t="inlineStr">
        <is>
          <t>2026-05-01</t>
        </is>
      </c>
      <c r="B35" s="122" t="inlineStr">
        <is>
          <t>Aug 2026</t>
        </is>
      </c>
      <c r="C35" s="122" t="n">
        <v>13</v>
      </c>
      <c r="D35" s="122" t="n">
        <v>372</v>
      </c>
      <c r="E35" s="122" t="n">
        <v>0</v>
      </c>
      <c r="F35" s="209">
        <f>IFERROR(E35/D35,0)</f>
        <v/>
      </c>
      <c r="G35" s="122" t="n">
        <v>0</v>
      </c>
      <c r="H35" s="209">
        <f>IFERROR(G35/D35,0)</f>
        <v/>
      </c>
      <c r="I35" s="209" t="n">
        <v>0.55</v>
      </c>
      <c r="J35" s="209">
        <f>IFERROR(F35-H35,0)</f>
        <v/>
      </c>
      <c r="K35" s="209">
        <f>IFERROR(F35-I35,0)</f>
        <v/>
      </c>
      <c r="L35" s="210" t="n">
        <v>0</v>
      </c>
      <c r="M35" s="122">
        <f>IFERROR(E35-VLOOKUP(B35,B$5:E34,4,0),"— first entry")</f>
        <v/>
      </c>
      <c r="N35" s="122">
        <f>IF(E35=0,"— no bookings yet",IF(K35&lt;-0.05,"⚠️ Behind budget — review rate",IF(K35&gt;0.05,"✅ Ahead — hold rate or push ADR",IF(J35&lt;-0.03,"↓ Soft vs LY — monitor","◼ On track"))))</f>
        <v/>
      </c>
    </row>
    <row r="36">
      <c r="A36" s="122" t="inlineStr">
        <is>
          <t>2026-05-01</t>
        </is>
      </c>
      <c r="B36" s="122" t="inlineStr">
        <is>
          <t>Sep 2026</t>
        </is>
      </c>
      <c r="C36" s="122" t="n">
        <v>17</v>
      </c>
      <c r="D36" s="122" t="n">
        <v>360</v>
      </c>
      <c r="E36" s="122" t="n">
        <v>0</v>
      </c>
      <c r="F36" s="209">
        <f>IFERROR(E36/D36,0)</f>
        <v/>
      </c>
      <c r="G36" s="122" t="n">
        <v>0</v>
      </c>
      <c r="H36" s="209">
        <f>IFERROR(G36/D36,0)</f>
        <v/>
      </c>
      <c r="I36" s="209" t="n">
        <v>0.2</v>
      </c>
      <c r="J36" s="209">
        <f>IFERROR(F36-H36,0)</f>
        <v/>
      </c>
      <c r="K36" s="209">
        <f>IFERROR(F36-I36,0)</f>
        <v/>
      </c>
      <c r="L36" s="210" t="n">
        <v>0</v>
      </c>
      <c r="M36" s="122">
        <f>IFERROR(E36-VLOOKUP(B36,B$5:E35,4,0),"— first entry")</f>
        <v/>
      </c>
      <c r="N36" s="122">
        <f>IF(E36=0,"— no bookings yet",IF(K36&lt;-0.05,"⚠️ Behind budget — review rate",IF(K36&gt;0.05,"✅ Ahead — hold rate or push ADR",IF(J36&lt;-0.03,"↓ Soft vs LY — monitor","◼ On track"))))</f>
        <v/>
      </c>
    </row>
    <row r="37"/>
    <row r="38">
      <c r="A38" s="208" t="inlineStr">
        <is>
          <t>▶  WEEK OF 2026-05-01  (script auto-populated)</t>
        </is>
      </c>
    </row>
    <row r="39">
      <c r="A39" s="122" t="inlineStr">
        <is>
          <t>2026-05-01</t>
        </is>
      </c>
      <c r="B39" s="122" t="inlineStr">
        <is>
          <t>May 2026</t>
        </is>
      </c>
      <c r="C39" s="122" t="n">
        <v>0</v>
      </c>
      <c r="D39" s="122" t="n">
        <v>372</v>
      </c>
      <c r="E39" s="122" t="n">
        <v>48</v>
      </c>
      <c r="F39" s="209">
        <f>IFERROR(E39/D39,0)</f>
        <v/>
      </c>
      <c r="G39" s="122" t="n">
        <v>0</v>
      </c>
      <c r="H39" s="209">
        <f>IFERROR(G39/D39,0)</f>
        <v/>
      </c>
      <c r="I39" s="209" t="n">
        <v>0.3</v>
      </c>
      <c r="J39" s="209">
        <f>IFERROR(F39-H39,0)</f>
        <v/>
      </c>
      <c r="K39" s="209">
        <f>IFERROR(F39-I39,0)</f>
        <v/>
      </c>
      <c r="L39" s="210" t="n">
        <v>301.24</v>
      </c>
      <c r="M39" s="122">
        <f>IFERROR(E39-VLOOKUP(B39,B$5:E38,4,0),"— first entry")</f>
        <v/>
      </c>
      <c r="N39" s="122">
        <f>IF(E39=0,"— no bookings yet",IF(K39&lt;-0.05,"⚠️ Behind budget — review rate",IF(K39&gt;0.05,"✅ Ahead — hold rate or push ADR",IF(J39&lt;-0.03,"↓ Soft vs LY — monitor","◼ On track"))))</f>
        <v/>
      </c>
    </row>
    <row r="40">
      <c r="A40" s="122" t="inlineStr">
        <is>
          <t>2026-05-01</t>
        </is>
      </c>
      <c r="B40" s="122" t="inlineStr">
        <is>
          <t>Jun 2026</t>
        </is>
      </c>
      <c r="C40" s="122" t="n">
        <v>4</v>
      </c>
      <c r="D40" s="122" t="n">
        <v>360</v>
      </c>
      <c r="E40" s="122" t="n">
        <v>49</v>
      </c>
      <c r="F40" s="209">
        <f>IFERROR(E40/D40,0)</f>
        <v/>
      </c>
      <c r="G40" s="122" t="n">
        <v>0</v>
      </c>
      <c r="H40" s="209">
        <f>IFERROR(G40/D40,0)</f>
        <v/>
      </c>
      <c r="I40" s="209" t="n">
        <v>0.3</v>
      </c>
      <c r="J40" s="209">
        <f>IFERROR(F40-H40,0)</f>
        <v/>
      </c>
      <c r="K40" s="209">
        <f>IFERROR(F40-I40,0)</f>
        <v/>
      </c>
      <c r="L40" s="210" t="n">
        <v>254.48</v>
      </c>
      <c r="M40" s="122">
        <f>IFERROR(E40-VLOOKUP(B40,B$5:E39,4,0),"— first entry")</f>
        <v/>
      </c>
      <c r="N40" s="122">
        <f>IF(E40=0,"— no bookings yet",IF(K40&lt;-0.05,"⚠️ Behind budget — review rate",IF(K40&gt;0.05,"✅ Ahead — hold rate or push ADR",IF(J40&lt;-0.03,"↓ Soft vs LY — monitor","◼ On track"))))</f>
        <v/>
      </c>
    </row>
    <row r="41">
      <c r="A41" s="122" t="inlineStr">
        <is>
          <t>2026-05-01</t>
        </is>
      </c>
      <c r="B41" s="122" t="inlineStr">
        <is>
          <t>Jul 2026</t>
        </is>
      </c>
      <c r="C41" s="122" t="n">
        <v>8</v>
      </c>
      <c r="D41" s="122" t="n">
        <v>372</v>
      </c>
      <c r="E41" s="122" t="n">
        <v>10</v>
      </c>
      <c r="F41" s="209">
        <f>IFERROR(E41/D41,0)</f>
        <v/>
      </c>
      <c r="G41" s="122" t="n">
        <v>0</v>
      </c>
      <c r="H41" s="209">
        <f>IFERROR(G41/D41,0)</f>
        <v/>
      </c>
      <c r="I41" s="209" t="n">
        <v>0.4</v>
      </c>
      <c r="J41" s="209">
        <f>IFERROR(F41-H41,0)</f>
        <v/>
      </c>
      <c r="K41" s="209">
        <f>IFERROR(F41-I41,0)</f>
        <v/>
      </c>
      <c r="L41" s="210" t="n">
        <v>395</v>
      </c>
      <c r="M41" s="122">
        <f>IFERROR(E41-VLOOKUP(B41,B$5:E40,4,0),"— first entry")</f>
        <v/>
      </c>
      <c r="N41" s="122">
        <f>IF(E41=0,"— no bookings yet",IF(K41&lt;-0.05,"⚠️ Behind budget — review rate",IF(K41&gt;0.05,"✅ Ahead — hold rate or push ADR",IF(J41&lt;-0.03,"↓ Soft vs LY — monitor","◼ On track"))))</f>
        <v/>
      </c>
    </row>
    <row r="42">
      <c r="A42" s="122" t="inlineStr">
        <is>
          <t>2026-05-01</t>
        </is>
      </c>
      <c r="B42" s="122" t="inlineStr">
        <is>
          <t>Aug 2026</t>
        </is>
      </c>
      <c r="C42" s="122" t="n">
        <v>13</v>
      </c>
      <c r="D42" s="122" t="n">
        <v>372</v>
      </c>
      <c r="E42" s="122" t="n">
        <v>0</v>
      </c>
      <c r="F42" s="209">
        <f>IFERROR(E42/D42,0)</f>
        <v/>
      </c>
      <c r="G42" s="122" t="n">
        <v>0</v>
      </c>
      <c r="H42" s="209">
        <f>IFERROR(G42/D42,0)</f>
        <v/>
      </c>
      <c r="I42" s="209" t="n">
        <v>0.55</v>
      </c>
      <c r="J42" s="209">
        <f>IFERROR(F42-H42,0)</f>
        <v/>
      </c>
      <c r="K42" s="209">
        <f>IFERROR(F42-I42,0)</f>
        <v/>
      </c>
      <c r="L42" s="210" t="n">
        <v>0</v>
      </c>
      <c r="M42" s="122">
        <f>IFERROR(E42-VLOOKUP(B42,B$5:E41,4,0),"— first entry")</f>
        <v/>
      </c>
      <c r="N42" s="122">
        <f>IF(E42=0,"— no bookings yet",IF(K42&lt;-0.05,"⚠️ Behind budget — review rate",IF(K42&gt;0.05,"✅ Ahead — hold rate or push ADR",IF(J42&lt;-0.03,"↓ Soft vs LY — monitor","◼ On track"))))</f>
        <v/>
      </c>
    </row>
    <row r="43">
      <c r="A43" s="122" t="inlineStr">
        <is>
          <t>2026-05-01</t>
        </is>
      </c>
      <c r="B43" s="122" t="inlineStr">
        <is>
          <t>Sep 2026</t>
        </is>
      </c>
      <c r="C43" s="122" t="n">
        <v>17</v>
      </c>
      <c r="D43" s="122" t="n">
        <v>360</v>
      </c>
      <c r="E43" s="122" t="n">
        <v>0</v>
      </c>
      <c r="F43" s="209">
        <f>IFERROR(E43/D43,0)</f>
        <v/>
      </c>
      <c r="G43" s="122" t="n">
        <v>0</v>
      </c>
      <c r="H43" s="209">
        <f>IFERROR(G43/D43,0)</f>
        <v/>
      </c>
      <c r="I43" s="209" t="n">
        <v>0.2</v>
      </c>
      <c r="J43" s="209">
        <f>IFERROR(F43-H43,0)</f>
        <v/>
      </c>
      <c r="K43" s="209">
        <f>IFERROR(F43-I43,0)</f>
        <v/>
      </c>
      <c r="L43" s="210" t="n">
        <v>0</v>
      </c>
      <c r="M43" s="122">
        <f>IFERROR(E43-VLOOKUP(B43,B$5:E42,4,0),"— first entry")</f>
        <v/>
      </c>
      <c r="N43" s="122">
        <f>IF(E43=0,"— no bookings yet",IF(K43&lt;-0.05,"⚠️ Behind budget — review rate",IF(K43&gt;0.05,"✅ Ahead — hold rate or push ADR",IF(J43&lt;-0.03,"↓ Soft vs LY — monitor","◼ On track"))))</f>
        <v/>
      </c>
    </row>
    <row r="44"/>
    <row r="45">
      <c r="A45" s="208" t="inlineStr">
        <is>
          <t>▶  WEEK OF 2026-05-01  (script auto-populated)</t>
        </is>
      </c>
    </row>
    <row r="46">
      <c r="A46" s="122" t="inlineStr">
        <is>
          <t>2026-05-01</t>
        </is>
      </c>
      <c r="B46" s="122" t="inlineStr">
        <is>
          <t>May 2026</t>
        </is>
      </c>
      <c r="C46" s="122" t="n">
        <v>0</v>
      </c>
      <c r="D46" s="122" t="n">
        <v>372</v>
      </c>
      <c r="E46" s="122" t="n">
        <v>48</v>
      </c>
      <c r="F46" s="209">
        <f>IFERROR(E46/D46,0)</f>
        <v/>
      </c>
      <c r="G46" s="122" t="n">
        <v>0</v>
      </c>
      <c r="H46" s="209">
        <f>IFERROR(G46/D46,0)</f>
        <v/>
      </c>
      <c r="I46" s="209" t="n">
        <v>0.3</v>
      </c>
      <c r="J46" s="209">
        <f>IFERROR(F46-H46,0)</f>
        <v/>
      </c>
      <c r="K46" s="209">
        <f>IFERROR(F46-I46,0)</f>
        <v/>
      </c>
      <c r="L46" s="210" t="n">
        <v>301.24</v>
      </c>
      <c r="M46" s="122">
        <f>IFERROR(E46-VLOOKUP(B46,B$5:E45,4,0),"— first entry")</f>
        <v/>
      </c>
      <c r="N46" s="122">
        <f>IF(E46=0,"— no bookings yet",IF(K46&lt;-0.05,"⚠️ Behind budget — review rate",IF(K46&gt;0.05,"✅ Ahead — hold rate or push ADR",IF(J46&lt;-0.03,"↓ Soft vs LY — monitor","◼ On track"))))</f>
        <v/>
      </c>
    </row>
    <row r="47">
      <c r="A47" s="122" t="inlineStr">
        <is>
          <t>2026-05-01</t>
        </is>
      </c>
      <c r="B47" s="122" t="inlineStr">
        <is>
          <t>Jun 2026</t>
        </is>
      </c>
      <c r="C47" s="122" t="n">
        <v>4</v>
      </c>
      <c r="D47" s="122" t="n">
        <v>360</v>
      </c>
      <c r="E47" s="122" t="n">
        <v>49</v>
      </c>
      <c r="F47" s="209">
        <f>IFERROR(E47/D47,0)</f>
        <v/>
      </c>
      <c r="G47" s="122" t="n">
        <v>0</v>
      </c>
      <c r="H47" s="209">
        <f>IFERROR(G47/D47,0)</f>
        <v/>
      </c>
      <c r="I47" s="209" t="n">
        <v>0.3</v>
      </c>
      <c r="J47" s="209">
        <f>IFERROR(F47-H47,0)</f>
        <v/>
      </c>
      <c r="K47" s="209">
        <f>IFERROR(F47-I47,0)</f>
        <v/>
      </c>
      <c r="L47" s="210" t="n">
        <v>254.48</v>
      </c>
      <c r="M47" s="122">
        <f>IFERROR(E47-VLOOKUP(B47,B$5:E46,4,0),"— first entry")</f>
        <v/>
      </c>
      <c r="N47" s="122">
        <f>IF(E47=0,"— no bookings yet",IF(K47&lt;-0.05,"⚠️ Behind budget — review rate",IF(K47&gt;0.05,"✅ Ahead — hold rate or push ADR",IF(J47&lt;-0.03,"↓ Soft vs LY — monitor","◼ On track"))))</f>
        <v/>
      </c>
    </row>
    <row r="48">
      <c r="A48" s="122" t="inlineStr">
        <is>
          <t>2026-05-01</t>
        </is>
      </c>
      <c r="B48" s="122" t="inlineStr">
        <is>
          <t>Jul 2026</t>
        </is>
      </c>
      <c r="C48" s="122" t="n">
        <v>8</v>
      </c>
      <c r="D48" s="122" t="n">
        <v>372</v>
      </c>
      <c r="E48" s="122" t="n">
        <v>10</v>
      </c>
      <c r="F48" s="209">
        <f>IFERROR(E48/D48,0)</f>
        <v/>
      </c>
      <c r="G48" s="122" t="n">
        <v>0</v>
      </c>
      <c r="H48" s="209">
        <f>IFERROR(G48/D48,0)</f>
        <v/>
      </c>
      <c r="I48" s="209" t="n">
        <v>0.4</v>
      </c>
      <c r="J48" s="209">
        <f>IFERROR(F48-H48,0)</f>
        <v/>
      </c>
      <c r="K48" s="209">
        <f>IFERROR(F48-I48,0)</f>
        <v/>
      </c>
      <c r="L48" s="210" t="n">
        <v>395</v>
      </c>
      <c r="M48" s="122">
        <f>IFERROR(E48-VLOOKUP(B48,B$5:E47,4,0),"— first entry")</f>
        <v/>
      </c>
      <c r="N48" s="122">
        <f>IF(E48=0,"— no bookings yet",IF(K48&lt;-0.05,"⚠️ Behind budget — review rate",IF(K48&gt;0.05,"✅ Ahead — hold rate or push ADR",IF(J48&lt;-0.03,"↓ Soft vs LY — monitor","◼ On track"))))</f>
        <v/>
      </c>
    </row>
    <row r="49">
      <c r="A49" s="122" t="inlineStr">
        <is>
          <t>2026-05-01</t>
        </is>
      </c>
      <c r="B49" s="122" t="inlineStr">
        <is>
          <t>Aug 2026</t>
        </is>
      </c>
      <c r="C49" s="122" t="n">
        <v>13</v>
      </c>
      <c r="D49" s="122" t="n">
        <v>372</v>
      </c>
      <c r="E49" s="122" t="n">
        <v>0</v>
      </c>
      <c r="F49" s="209">
        <f>IFERROR(E49/D49,0)</f>
        <v/>
      </c>
      <c r="G49" s="122" t="n">
        <v>0</v>
      </c>
      <c r="H49" s="209">
        <f>IFERROR(G49/D49,0)</f>
        <v/>
      </c>
      <c r="I49" s="209" t="n">
        <v>0.55</v>
      </c>
      <c r="J49" s="209">
        <f>IFERROR(F49-H49,0)</f>
        <v/>
      </c>
      <c r="K49" s="209">
        <f>IFERROR(F49-I49,0)</f>
        <v/>
      </c>
      <c r="L49" s="210" t="n">
        <v>0</v>
      </c>
      <c r="M49" s="122">
        <f>IFERROR(E49-VLOOKUP(B49,B$5:E48,4,0),"— first entry")</f>
        <v/>
      </c>
      <c r="N49" s="122">
        <f>IF(E49=0,"— no bookings yet",IF(K49&lt;-0.05,"⚠️ Behind budget — review rate",IF(K49&gt;0.05,"✅ Ahead — hold rate or push ADR",IF(J49&lt;-0.03,"↓ Soft vs LY — monitor","◼ On track"))))</f>
        <v/>
      </c>
    </row>
    <row r="50">
      <c r="A50" s="122" t="inlineStr">
        <is>
          <t>2026-05-01</t>
        </is>
      </c>
      <c r="B50" s="122" t="inlineStr">
        <is>
          <t>Sep 2026</t>
        </is>
      </c>
      <c r="C50" s="122" t="n">
        <v>17</v>
      </c>
      <c r="D50" s="122" t="n">
        <v>360</v>
      </c>
      <c r="E50" s="122" t="n">
        <v>0</v>
      </c>
      <c r="F50" s="209">
        <f>IFERROR(E50/D50,0)</f>
        <v/>
      </c>
      <c r="G50" s="122" t="n">
        <v>0</v>
      </c>
      <c r="H50" s="209">
        <f>IFERROR(G50/D50,0)</f>
        <v/>
      </c>
      <c r="I50" s="209" t="n">
        <v>0.2</v>
      </c>
      <c r="J50" s="209">
        <f>IFERROR(F50-H50,0)</f>
        <v/>
      </c>
      <c r="K50" s="209">
        <f>IFERROR(F50-I50,0)</f>
        <v/>
      </c>
      <c r="L50" s="210" t="n">
        <v>0</v>
      </c>
      <c r="M50" s="122">
        <f>IFERROR(E50-VLOOKUP(B50,B$5:E49,4,0),"— first entry")</f>
        <v/>
      </c>
      <c r="N50" s="122">
        <f>IF(E50=0,"— no bookings yet",IF(K50&lt;-0.05,"⚠️ Behind budget — review rate",IF(K50&gt;0.05,"✅ Ahead — hold rate or push ADR",IF(J50&lt;-0.03,"↓ Soft vs LY — monitor","◼ On track"))))</f>
        <v/>
      </c>
    </row>
    <row r="52">
      <c r="A52" s="208" t="inlineStr">
        <is>
          <t>▶  WEEK OF 2026-05-01  (script auto-populated)</t>
        </is>
      </c>
    </row>
    <row r="53">
      <c r="A53" t="inlineStr">
        <is>
          <t>2026-05-01</t>
        </is>
      </c>
      <c r="B53" t="inlineStr">
        <is>
          <t>May 2026</t>
        </is>
      </c>
      <c r="C53" t="n">
        <v>0</v>
      </c>
      <c r="D53" t="n">
        <v>372</v>
      </c>
      <c r="E53" t="n">
        <v>48</v>
      </c>
      <c r="F53" s="209">
        <f>IFERROR(E53/D53,0)</f>
        <v/>
      </c>
      <c r="G53" t="n">
        <v>0</v>
      </c>
      <c r="H53" s="209">
        <f>IFERROR(G53/D53,0)</f>
        <v/>
      </c>
      <c r="I53" s="209" t="n">
        <v>0.3</v>
      </c>
      <c r="J53" s="209">
        <f>IFERROR(F53-H53,0)</f>
        <v/>
      </c>
      <c r="K53" s="209">
        <f>IFERROR(F53-I53,0)</f>
        <v/>
      </c>
      <c r="L53" s="210" t="n">
        <v>301.24</v>
      </c>
      <c r="M53">
        <f>IFERROR(E53-VLOOKUP(B53,B$5:E52,4,0),"— first entry")</f>
        <v/>
      </c>
      <c r="N53">
        <f>IF(E53=0,"— no bookings yet",IF(K53&lt;-0.05,"⚠️ Behind budget — review rate",IF(K53&gt;0.05,"✅ Ahead — hold rate or push ADR",IF(J53&lt;-0.03,"↓ Soft vs LY — monitor","◼ On track"))))</f>
        <v/>
      </c>
    </row>
    <row r="54">
      <c r="A54" t="inlineStr">
        <is>
          <t>2026-05-01</t>
        </is>
      </c>
      <c r="B54" t="inlineStr">
        <is>
          <t>Jun 2026</t>
        </is>
      </c>
      <c r="C54" t="n">
        <v>4</v>
      </c>
      <c r="D54" t="n">
        <v>360</v>
      </c>
      <c r="E54" t="n">
        <v>49</v>
      </c>
      <c r="F54" s="209">
        <f>IFERROR(E54/D54,0)</f>
        <v/>
      </c>
      <c r="G54" t="n">
        <v>0</v>
      </c>
      <c r="H54" s="209">
        <f>IFERROR(G54/D54,0)</f>
        <v/>
      </c>
      <c r="I54" s="209" t="n">
        <v>0.3</v>
      </c>
      <c r="J54" s="209">
        <f>IFERROR(F54-H54,0)</f>
        <v/>
      </c>
      <c r="K54" s="209">
        <f>IFERROR(F54-I54,0)</f>
        <v/>
      </c>
      <c r="L54" s="210" t="n">
        <v>254.48</v>
      </c>
      <c r="M54">
        <f>IFERROR(E54-VLOOKUP(B54,B$5:E53,4,0),"— first entry")</f>
        <v/>
      </c>
      <c r="N54">
        <f>IF(E54=0,"— no bookings yet",IF(K54&lt;-0.05,"⚠️ Behind budget — review rate",IF(K54&gt;0.05,"✅ Ahead — hold rate or push ADR",IF(J54&lt;-0.03,"↓ Soft vs LY — monitor","◼ On track"))))</f>
        <v/>
      </c>
    </row>
    <row r="55">
      <c r="A55" t="inlineStr">
        <is>
          <t>2026-05-01</t>
        </is>
      </c>
      <c r="B55" t="inlineStr">
        <is>
          <t>Jul 2026</t>
        </is>
      </c>
      <c r="C55" t="n">
        <v>8</v>
      </c>
      <c r="D55" t="n">
        <v>372</v>
      </c>
      <c r="E55" t="n">
        <v>10</v>
      </c>
      <c r="F55" s="209">
        <f>IFERROR(E55/D55,0)</f>
        <v/>
      </c>
      <c r="G55" t="n">
        <v>0</v>
      </c>
      <c r="H55" s="209">
        <f>IFERROR(G55/D55,0)</f>
        <v/>
      </c>
      <c r="I55" s="209" t="n">
        <v>0.4</v>
      </c>
      <c r="J55" s="209">
        <f>IFERROR(F55-H55,0)</f>
        <v/>
      </c>
      <c r="K55" s="209">
        <f>IFERROR(F55-I55,0)</f>
        <v/>
      </c>
      <c r="L55" s="210" t="n">
        <v>395</v>
      </c>
      <c r="M55">
        <f>IFERROR(E55-VLOOKUP(B55,B$5:E54,4,0),"— first entry")</f>
        <v/>
      </c>
      <c r="N55">
        <f>IF(E55=0,"— no bookings yet",IF(K55&lt;-0.05,"⚠️ Behind budget — review rate",IF(K55&gt;0.05,"✅ Ahead — hold rate or push ADR",IF(J55&lt;-0.03,"↓ Soft vs LY — monitor","◼ On track"))))</f>
        <v/>
      </c>
    </row>
    <row r="56">
      <c r="A56" t="inlineStr">
        <is>
          <t>2026-05-01</t>
        </is>
      </c>
      <c r="B56" t="inlineStr">
        <is>
          <t>Aug 2026</t>
        </is>
      </c>
      <c r="C56" t="n">
        <v>13</v>
      </c>
      <c r="D56" t="n">
        <v>372</v>
      </c>
      <c r="E56" t="n">
        <v>0</v>
      </c>
      <c r="F56" s="209">
        <f>IFERROR(E56/D56,0)</f>
        <v/>
      </c>
      <c r="G56" t="n">
        <v>0</v>
      </c>
      <c r="H56" s="209">
        <f>IFERROR(G56/D56,0)</f>
        <v/>
      </c>
      <c r="I56" s="209" t="n">
        <v>0.55</v>
      </c>
      <c r="J56" s="209">
        <f>IFERROR(F56-H56,0)</f>
        <v/>
      </c>
      <c r="K56" s="209">
        <f>IFERROR(F56-I56,0)</f>
        <v/>
      </c>
      <c r="L56" s="210" t="n">
        <v>0</v>
      </c>
      <c r="M56">
        <f>IFERROR(E56-VLOOKUP(B56,B$5:E55,4,0),"— first entry")</f>
        <v/>
      </c>
      <c r="N56">
        <f>IF(E56=0,"— no bookings yet",IF(K56&lt;-0.05,"⚠️ Behind budget — review rate",IF(K56&gt;0.05,"✅ Ahead — hold rate or push ADR",IF(J56&lt;-0.03,"↓ Soft vs LY — monitor","◼ On track"))))</f>
        <v/>
      </c>
    </row>
    <row r="57">
      <c r="A57" t="inlineStr">
        <is>
          <t>2026-05-01</t>
        </is>
      </c>
      <c r="B57" t="inlineStr">
        <is>
          <t>Sep 2026</t>
        </is>
      </c>
      <c r="C57" t="n">
        <v>17</v>
      </c>
      <c r="D57" t="n">
        <v>360</v>
      </c>
      <c r="E57" t="n">
        <v>0</v>
      </c>
      <c r="F57" s="209">
        <f>IFERROR(E57/D57,0)</f>
        <v/>
      </c>
      <c r="G57" t="n">
        <v>0</v>
      </c>
      <c r="H57" s="209">
        <f>IFERROR(G57/D57,0)</f>
        <v/>
      </c>
      <c r="I57" s="209" t="n">
        <v>0.2</v>
      </c>
      <c r="J57" s="209">
        <f>IFERROR(F57-H57,0)</f>
        <v/>
      </c>
      <c r="K57" s="209">
        <f>IFERROR(F57-I57,0)</f>
        <v/>
      </c>
      <c r="L57" s="210" t="n">
        <v>0</v>
      </c>
      <c r="M57">
        <f>IFERROR(E57-VLOOKUP(B57,B$5:E56,4,0),"— first entry")</f>
        <v/>
      </c>
      <c r="N57">
        <f>IF(E57=0,"— no bookings yet",IF(K57&lt;-0.05,"⚠️ Behind budget — review rate",IF(K57&gt;0.05,"✅ Ahead — hold rate or push ADR",IF(J57&lt;-0.03,"↓ Soft vs LY — monitor","◼ On track"))))</f>
        <v/>
      </c>
    </row>
  </sheetData>
  <mergeCells count="9">
    <mergeCell ref="A31:N31"/>
    <mergeCell ref="A4:N4"/>
    <mergeCell ref="A38:N38"/>
    <mergeCell ref="A24:N24"/>
    <mergeCell ref="A2:N2"/>
    <mergeCell ref="A52:N52"/>
    <mergeCell ref="A45:N45"/>
    <mergeCell ref="A14:N14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A5FA5"/>
    <outlinePr summaryBelow="1" summaryRight="1"/>
    <pageSetUpPr fitToPage="0"/>
  </sheetPr>
  <dimension ref="A1:P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122" min="1" max="1"/>
    <col width="16" customWidth="1" style="122" min="2" max="8"/>
  </cols>
  <sheetData>
    <row r="1" ht="27.75" customHeight="1" s="123">
      <c r="A1" s="124" t="inlineStr">
        <is>
          <t>FERNCREST FLINT CREEK — VARIANCE REPORT 2026  |  Budget vs Forecast vs Actual</t>
        </is>
      </c>
    </row>
    <row r="2" ht="7.5" customHeight="1" s="123"/>
    <row r="3" ht="30" customHeight="1" s="123">
      <c r="A3" s="129" t="inlineStr">
        <is>
          <t>Metric</t>
        </is>
      </c>
      <c r="B3" s="129" t="inlineStr">
        <is>
          <t>Budget FY</t>
        </is>
      </c>
      <c r="C3" s="129" t="inlineStr">
        <is>
          <t>Forecast FY</t>
        </is>
      </c>
      <c r="D3" s="129" t="inlineStr">
        <is>
          <t>Actual YTD</t>
        </is>
      </c>
      <c r="E3" s="129" t="inlineStr">
        <is>
          <t>Var: Fc vs Bud ($)</t>
        </is>
      </c>
      <c r="F3" s="129" t="inlineStr">
        <is>
          <t>Var: Fc vs Bud (%)</t>
        </is>
      </c>
      <c r="G3" s="129" t="inlineStr">
        <is>
          <t>Var: Act vs Fc ($)</t>
        </is>
      </c>
      <c r="H3" s="129" t="inlineStr">
        <is>
          <t>Var: Act vs Fc (%)</t>
        </is>
      </c>
    </row>
    <row r="4" ht="13.5" customHeight="1" s="123">
      <c r="A4" s="125" t="inlineStr">
        <is>
          <t>── REVENUE</t>
        </is>
      </c>
      <c r="B4" s="126" t="n"/>
      <c r="C4" s="126" t="n"/>
      <c r="D4" s="126" t="n"/>
      <c r="E4" s="126" t="n"/>
      <c r="F4" s="126" t="n"/>
      <c r="G4" s="126" t="n"/>
      <c r="H4" s="126" t="n"/>
    </row>
    <row r="5" ht="15" customHeight="1" s="123">
      <c r="A5" s="143" t="inlineStr">
        <is>
          <t>Room Revenue</t>
        </is>
      </c>
      <c r="B5" s="179" t="n">
        <v>0</v>
      </c>
      <c r="C5" s="179" t="n">
        <v>0</v>
      </c>
      <c r="D5" s="179" t="n">
        <v>0</v>
      </c>
      <c r="E5" s="167">
        <f>C5-B5</f>
        <v/>
      </c>
      <c r="F5" s="196">
        <f>IFERROR((C5-B5)/ABS(B5),0)</f>
        <v/>
      </c>
      <c r="G5" s="167">
        <f>D5-C5</f>
        <v/>
      </c>
      <c r="H5" s="196">
        <f>IFERROR((D5-C5)/ABS(C5),0)</f>
        <v/>
      </c>
    </row>
    <row r="6" ht="15" customHeight="1" s="123">
      <c r="A6" s="143" t="inlineStr">
        <is>
          <t>Store Revenue</t>
        </is>
      </c>
      <c r="B6" s="179" t="n">
        <v>0</v>
      </c>
      <c r="C6" s="179" t="n">
        <v>0</v>
      </c>
      <c r="D6" s="179" t="n">
        <v>0</v>
      </c>
      <c r="E6" s="167">
        <f>C6-B6</f>
        <v/>
      </c>
      <c r="F6" s="196">
        <f>IFERROR((C6-B6)/ABS(B6),0)</f>
        <v/>
      </c>
      <c r="G6" s="167">
        <f>D6-C6</f>
        <v/>
      </c>
      <c r="H6" s="196">
        <f>IFERROR((D6-C6)/ABS(C6),0)</f>
        <v/>
      </c>
    </row>
    <row r="7" ht="15" customHeight="1" s="123">
      <c r="A7" s="143" t="inlineStr">
        <is>
          <t>Cost of Goods Sold</t>
        </is>
      </c>
      <c r="B7" s="179" t="n">
        <v>0</v>
      </c>
      <c r="C7" s="179" t="n">
        <v>0</v>
      </c>
      <c r="D7" s="179" t="n">
        <v>0</v>
      </c>
      <c r="E7" s="167">
        <f>C7-B7</f>
        <v/>
      </c>
      <c r="F7" s="196">
        <f>IFERROR((C7-B7)/ABS(B7),0)</f>
        <v/>
      </c>
      <c r="G7" s="167">
        <f>D7-C7</f>
        <v/>
      </c>
      <c r="H7" s="196">
        <f>IFERROR((D7-C7)/ABS(C7),0)</f>
        <v/>
      </c>
    </row>
    <row r="8" ht="15" customHeight="1" s="123">
      <c r="A8" s="169" t="inlineStr">
        <is>
          <t>NET REVENUE</t>
        </is>
      </c>
      <c r="B8" s="171" t="n">
        <v>0</v>
      </c>
      <c r="C8" s="171" t="n">
        <v>0</v>
      </c>
      <c r="D8" s="171" t="n">
        <v>0</v>
      </c>
      <c r="E8" s="171">
        <f>C8-B8</f>
        <v/>
      </c>
      <c r="F8" s="211">
        <f>IFERROR((C8-B8)/ABS(B8),0)</f>
        <v/>
      </c>
      <c r="G8" s="171">
        <f>D8-C8</f>
        <v/>
      </c>
      <c r="H8" s="211">
        <f>IFERROR((D8-C8)/ABS(C8),0)</f>
        <v/>
      </c>
    </row>
    <row r="9" ht="13.5" customHeight="1" s="123">
      <c r="A9" s="125" t="inlineStr">
        <is>
          <t>── EXPENSES</t>
        </is>
      </c>
      <c r="B9" s="126" t="n"/>
      <c r="C9" s="126" t="n"/>
      <c r="D9" s="126" t="n"/>
      <c r="E9" s="126" t="n"/>
      <c r="F9" s="126" t="n"/>
      <c r="G9" s="126" t="n"/>
      <c r="H9" s="126" t="n"/>
    </row>
    <row r="10" ht="15" customHeight="1" s="123">
      <c r="A10" s="143" t="inlineStr">
        <is>
          <t>Variable Expenses</t>
        </is>
      </c>
      <c r="B10" s="179" t="n">
        <v>0</v>
      </c>
      <c r="C10" s="179" t="n">
        <v>0</v>
      </c>
      <c r="D10" s="179" t="n">
        <v>0</v>
      </c>
      <c r="E10" s="167">
        <f>C10-B10</f>
        <v/>
      </c>
      <c r="F10" s="196">
        <f>IFERROR((C10-B10)/ABS(B10),0)</f>
        <v/>
      </c>
      <c r="G10" s="167">
        <f>D10-C10</f>
        <v/>
      </c>
      <c r="H10" s="196">
        <f>IFERROR((D10-C10)/ABS(C10),0)</f>
        <v/>
      </c>
    </row>
    <row r="11" ht="15" customHeight="1" s="123">
      <c r="A11" s="143" t="inlineStr">
        <is>
          <t>Franchise Pass-throughs</t>
        </is>
      </c>
      <c r="B11" s="179" t="n">
        <v>0</v>
      </c>
      <c r="C11" s="179" t="n">
        <v>0</v>
      </c>
      <c r="D11" s="179" t="n">
        <v>0</v>
      </c>
      <c r="E11" s="167">
        <f>C11-B11</f>
        <v/>
      </c>
      <c r="F11" s="196">
        <f>IFERROR((C11-B11)/ABS(B11),0)</f>
        <v/>
      </c>
      <c r="G11" s="167">
        <f>D11-C11</f>
        <v/>
      </c>
      <c r="H11" s="196">
        <f>IFERROR((D11-C11)/ABS(C11),0)</f>
        <v/>
      </c>
    </row>
    <row r="12" ht="15" customHeight="1" s="123">
      <c r="A12" s="143" t="inlineStr">
        <is>
          <t>Franchise Fees</t>
        </is>
      </c>
      <c r="B12" s="179" t="n">
        <v>0</v>
      </c>
      <c r="C12" s="179" t="n">
        <v>0</v>
      </c>
      <c r="D12" s="179" t="n">
        <v>0</v>
      </c>
      <c r="E12" s="167">
        <f>C12-B12</f>
        <v/>
      </c>
      <c r="F12" s="196">
        <f>IFERROR((C12-B12)/ABS(B12),0)</f>
        <v/>
      </c>
      <c r="G12" s="167">
        <f>D12-C12</f>
        <v/>
      </c>
      <c r="H12" s="196">
        <f>IFERROR((D12-C12)/ABS(C12),0)</f>
        <v/>
      </c>
    </row>
    <row r="13" ht="15" customHeight="1" s="123">
      <c r="A13" s="169" t="inlineStr">
        <is>
          <t>TOTAL OPERATING EXPENSES</t>
        </is>
      </c>
      <c r="B13" s="171" t="n">
        <v>0</v>
      </c>
      <c r="C13" s="171" t="n">
        <v>0</v>
      </c>
      <c r="D13" s="171" t="n">
        <v>0</v>
      </c>
      <c r="E13" s="171">
        <f>C13-B13</f>
        <v/>
      </c>
      <c r="F13" s="211">
        <f>IFERROR((C13-B13)/ABS(B13),0)</f>
        <v/>
      </c>
      <c r="G13" s="171">
        <f>D13-C13</f>
        <v/>
      </c>
      <c r="H13" s="211">
        <f>IFERROR((D13-C13)/ABS(C13),0)</f>
        <v/>
      </c>
    </row>
    <row r="14" ht="13.5" customHeight="1" s="123">
      <c r="A14" s="125" t="inlineStr">
        <is>
          <t>── PROFITABILITY</t>
        </is>
      </c>
      <c r="B14" s="126" t="n"/>
      <c r="C14" s="126" t="n"/>
      <c r="D14" s="126" t="n"/>
      <c r="E14" s="126" t="n"/>
      <c r="F14" s="126" t="n"/>
      <c r="G14" s="126" t="n"/>
      <c r="H14" s="126" t="n"/>
    </row>
    <row r="15" ht="15" customHeight="1" s="123">
      <c r="A15" s="169" t="inlineStr">
        <is>
          <t>NET OPERATING INCOME</t>
        </is>
      </c>
      <c r="B15" s="171" t="n">
        <v>0</v>
      </c>
      <c r="C15" s="171" t="n">
        <v>0</v>
      </c>
      <c r="D15" s="171" t="n">
        <v>0</v>
      </c>
      <c r="E15" s="171">
        <f>C15-B15</f>
        <v/>
      </c>
      <c r="F15" s="211">
        <f>IFERROR((C15-B15)/ABS(B15),0)</f>
        <v/>
      </c>
      <c r="G15" s="171">
        <f>D15-C15</f>
        <v/>
      </c>
      <c r="H15" s="211">
        <f>IFERROR((D15-C15)/ABS(C15),0)</f>
        <v/>
      </c>
    </row>
    <row r="16" ht="15" customHeight="1" s="123">
      <c r="A16" s="127" t="inlineStr">
        <is>
          <t>NOI Margin %</t>
        </is>
      </c>
      <c r="B16" s="212" t="n">
        <v>0</v>
      </c>
      <c r="C16" s="212" t="n">
        <v>0</v>
      </c>
      <c r="D16" s="212" t="n">
        <v>0</v>
      </c>
      <c r="E16" s="182">
        <f>C16-B16</f>
        <v/>
      </c>
      <c r="F16" s="178">
        <f>IFERROR((C16-B16)/ABS(B16),0)</f>
        <v/>
      </c>
      <c r="G16" s="182">
        <f>D16-C16</f>
        <v/>
      </c>
      <c r="H16" s="178">
        <f>IFERROR((D16-C16)/ABS(C16),0)</f>
        <v/>
      </c>
    </row>
    <row r="17" ht="13.5" customHeight="1" s="123">
      <c r="A17" s="125" t="inlineStr">
        <is>
          <t>── PERFORMANCE</t>
        </is>
      </c>
      <c r="B17" s="126" t="n"/>
      <c r="C17" s="126" t="n"/>
      <c r="D17" s="126" t="n"/>
      <c r="E17" s="126" t="n"/>
      <c r="F17" s="126" t="n"/>
      <c r="G17" s="126" t="n"/>
      <c r="H17" s="126" t="n"/>
    </row>
    <row r="18" ht="15" customHeight="1" s="123">
      <c r="A18" s="127" t="inlineStr">
        <is>
          <t>Occupancy Rate</t>
        </is>
      </c>
      <c r="B18" s="212" t="n">
        <v>0</v>
      </c>
      <c r="C18" s="212" t="n">
        <v>0</v>
      </c>
      <c r="D18" s="212" t="n">
        <v>0</v>
      </c>
      <c r="E18" s="182">
        <f>C18-B18</f>
        <v/>
      </c>
      <c r="F18" s="178">
        <f>IFERROR((C18-B18)/ABS(B18),0)</f>
        <v/>
      </c>
      <c r="G18" s="182">
        <f>D18-C18</f>
        <v/>
      </c>
      <c r="H18" s="178">
        <f>IFERROR((D18-C18)/ABS(C18),0)</f>
        <v/>
      </c>
    </row>
    <row r="19" ht="15" customHeight="1" s="123">
      <c r="A19" s="127" t="inlineStr">
        <is>
          <t>ADR</t>
        </is>
      </c>
      <c r="B19" s="213" t="n">
        <v>0</v>
      </c>
      <c r="C19" s="213" t="n">
        <v>0</v>
      </c>
      <c r="D19" s="213" t="n">
        <v>0</v>
      </c>
      <c r="E19" s="182">
        <f>C19-B19</f>
        <v/>
      </c>
      <c r="F19" s="178">
        <f>IFERROR((C19-B19)/ABS(B19),0)</f>
        <v/>
      </c>
      <c r="G19" s="182">
        <f>D19-C19</f>
        <v/>
      </c>
      <c r="H19" s="178">
        <f>IFERROR((D19-C19)/ABS(C19),0)</f>
        <v/>
      </c>
    </row>
    <row r="20" ht="15" customHeight="1" s="123">
      <c r="A20" s="127" t="inlineStr">
        <is>
          <t>RevPAR</t>
        </is>
      </c>
      <c r="B20" s="213" t="n">
        <v>0</v>
      </c>
      <c r="C20" s="213" t="n">
        <v>0</v>
      </c>
      <c r="D20" s="213" t="n">
        <v>0</v>
      </c>
      <c r="E20" s="182">
        <f>C20-B20</f>
        <v/>
      </c>
      <c r="F20" s="178">
        <f>IFERROR((C20-B20)/ABS(B20),0)</f>
        <v/>
      </c>
      <c r="G20" s="182">
        <f>D20-C20</f>
        <v/>
      </c>
      <c r="H20" s="178">
        <f>IFERROR((D20-C20)/ABS(C20),0)</f>
        <v/>
      </c>
    </row>
  </sheetData>
  <mergeCells count="5">
    <mergeCell ref="A9:H9"/>
    <mergeCell ref="A4:H4"/>
    <mergeCell ref="A1:P1"/>
    <mergeCell ref="A14:H14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6B4C9A"/>
    <outlinePr summaryBelow="1" summaryRight="1"/>
    <pageSetUpPr fitToPage="0"/>
  </sheetPr>
  <dimension ref="A1:P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6" customWidth="1" style="122" min="1" max="1"/>
    <col width="8" customWidth="1" style="122" min="2" max="2"/>
    <col width="7" customWidth="1" style="122" min="3" max="3"/>
    <col width="13" customWidth="1" style="122" min="4" max="7"/>
    <col width="12" customWidth="1" style="122" min="8" max="8"/>
    <col width="13" customWidth="1" style="122" min="9" max="12"/>
    <col width="12" customWidth="1" style="122" min="13" max="13"/>
    <col width="11" customWidth="1" style="122" min="14" max="16"/>
  </cols>
  <sheetData>
    <row r="1" ht="27.75" customHeight="1" s="123">
      <c r="A1" s="124" t="inlineStr">
        <is>
          <t>FERNCREST PORTFOLIO ROLL-UP  |  All Properties  |  Updated by Python script</t>
        </is>
      </c>
    </row>
    <row r="2" ht="27.75" customHeight="1" s="123">
      <c r="A2" s="183" t="inlineStr">
        <is>
          <t>Each row = one property. Data pulled from that property's Report_Data tab by the Python script. Do not edit manually — values will be overwritten on next script run. To add a property: add a row with the property code; the script will populate it.</t>
        </is>
      </c>
    </row>
    <row r="3" ht="18" customHeight="1" s="123">
      <c r="A3" s="214" t="inlineStr">
        <is>
          <t>PROPERTY</t>
        </is>
      </c>
      <c r="B3" s="215" t="n"/>
      <c r="C3" s="215" t="n"/>
      <c r="D3" s="214" t="inlineStr">
        <is>
          <t>REVENUE</t>
        </is>
      </c>
      <c r="E3" s="215" t="n"/>
      <c r="F3" s="215" t="n"/>
      <c r="G3" s="214" t="inlineStr">
        <is>
          <t>REV VARIANCE</t>
        </is>
      </c>
      <c r="H3" s="215" t="n"/>
      <c r="I3" s="214" t="inlineStr">
        <is>
          <t>NOI</t>
        </is>
      </c>
      <c r="J3" s="215" t="n"/>
      <c r="K3" s="215" t="n"/>
      <c r="L3" s="214" t="inlineStr">
        <is>
          <t>NOI VARIANCE</t>
        </is>
      </c>
      <c r="M3" s="215" t="n"/>
      <c r="N3" s="214" t="inlineStr">
        <is>
          <t>PERFORMANCE KPIs</t>
        </is>
      </c>
      <c r="O3" s="215" t="n"/>
      <c r="P3" s="215" t="n"/>
    </row>
    <row r="4" ht="31.5" customHeight="1" s="123">
      <c r="A4" s="129" t="inlineStr">
        <is>
          <t>Property Name</t>
        </is>
      </c>
      <c r="B4" s="129" t="inlineStr">
        <is>
          <t>Code</t>
        </is>
      </c>
      <c r="C4" s="129" t="inlineStr">
        <is>
          <t>Units</t>
        </is>
      </c>
      <c r="D4" s="129" t="inlineStr">
        <is>
          <t>Budget FY</t>
        </is>
      </c>
      <c r="E4" s="129" t="inlineStr">
        <is>
          <t>Forecast FY</t>
        </is>
      </c>
      <c r="F4" s="129" t="inlineStr">
        <is>
          <t>Actual YTD</t>
        </is>
      </c>
      <c r="G4" s="129" t="inlineStr">
        <is>
          <t>Fc vs Bud ($)</t>
        </is>
      </c>
      <c r="H4" s="129" t="inlineStr">
        <is>
          <t>Fc vs Bud (%)</t>
        </is>
      </c>
      <c r="I4" s="129" t="inlineStr">
        <is>
          <t>Budget NOI</t>
        </is>
      </c>
      <c r="J4" s="129" t="inlineStr">
        <is>
          <t>Forecast NOI</t>
        </is>
      </c>
      <c r="K4" s="129" t="inlineStr">
        <is>
          <t>Actual NOI YTD</t>
        </is>
      </c>
      <c r="L4" s="129" t="inlineStr">
        <is>
          <t>Fc vs Bud ($)</t>
        </is>
      </c>
      <c r="M4" s="129" t="inlineStr">
        <is>
          <t>Fc vs Bud (%)</t>
        </is>
      </c>
      <c r="N4" s="129" t="inlineStr">
        <is>
          <t>Occ % (Fc)</t>
        </is>
      </c>
      <c r="O4" s="129" t="inlineStr">
        <is>
          <t>ADR (Fc)</t>
        </is>
      </c>
      <c r="P4" s="129" t="inlineStr">
        <is>
          <t>RevPAR (Fc)</t>
        </is>
      </c>
    </row>
    <row r="5" ht="16.5" customHeight="1" s="123">
      <c r="A5" s="216" t="inlineStr">
        <is>
          <t>Ferncrest Flint Creek</t>
        </is>
      </c>
      <c r="B5" s="186" t="inlineStr">
        <is>
          <t>OK-FC</t>
        </is>
      </c>
      <c r="C5" s="217" t="n">
        <v>12</v>
      </c>
      <c r="D5" s="218" t="n">
        <v>300006</v>
      </c>
      <c r="E5" s="218" t="n">
        <v>300006</v>
      </c>
      <c r="F5" s="218" t="n">
        <v>0</v>
      </c>
      <c r="G5" s="219">
        <f>IFERROR(F5-E5,0)</f>
        <v/>
      </c>
      <c r="H5" s="220">
        <f>IFERROR((F5-E5)/ABS(E5),0)</f>
        <v/>
      </c>
      <c r="I5" s="218" t="n">
        <v>88667</v>
      </c>
      <c r="J5" s="218" t="n">
        <v>88667</v>
      </c>
      <c r="K5" s="218" t="n">
        <v>0</v>
      </c>
      <c r="L5" s="219">
        <f>IFERROR(J5-I5,0)</f>
        <v/>
      </c>
      <c r="M5" s="220">
        <f>IFERROR((J5-I5)/ABS(I5),0)</f>
        <v/>
      </c>
      <c r="N5" s="221" t="n">
        <v>0.283</v>
      </c>
      <c r="O5" s="218" t="n">
        <v>233</v>
      </c>
      <c r="P5" s="222" t="n">
        <v>65.97</v>
      </c>
    </row>
    <row r="6" ht="16.5" customHeight="1" s="123">
      <c r="A6" s="223" t="inlineStr">
        <is>
          <t>Property 2</t>
        </is>
      </c>
      <c r="B6" s="224" t="inlineStr">
        <is>
          <t>—</t>
        </is>
      </c>
      <c r="C6" s="225" t="n">
        <v>0</v>
      </c>
      <c r="D6" s="226" t="inlineStr">
        <is>
          <t>— pending</t>
        </is>
      </c>
      <c r="E6" s="226" t="inlineStr">
        <is>
          <t>— pending</t>
        </is>
      </c>
      <c r="F6" s="226" t="inlineStr">
        <is>
          <t>— pending</t>
        </is>
      </c>
      <c r="G6" s="226" t="inlineStr">
        <is>
          <t>— pending</t>
        </is>
      </c>
      <c r="H6" s="226" t="inlineStr">
        <is>
          <t>— pending</t>
        </is>
      </c>
      <c r="I6" s="226" t="inlineStr">
        <is>
          <t>— pending</t>
        </is>
      </c>
      <c r="J6" s="226" t="inlineStr">
        <is>
          <t>— pending</t>
        </is>
      </c>
      <c r="K6" s="226" t="inlineStr">
        <is>
          <t>— pending</t>
        </is>
      </c>
      <c r="L6" s="226" t="inlineStr">
        <is>
          <t>— pending</t>
        </is>
      </c>
      <c r="M6" s="226" t="inlineStr">
        <is>
          <t>— pending</t>
        </is>
      </c>
      <c r="N6" s="226" t="inlineStr">
        <is>
          <t>— pending</t>
        </is>
      </c>
      <c r="O6" s="226" t="inlineStr">
        <is>
          <t>— pending</t>
        </is>
      </c>
      <c r="P6" s="226" t="inlineStr">
        <is>
          <t>— pending</t>
        </is>
      </c>
    </row>
    <row r="7" ht="16.5" customHeight="1" s="123">
      <c r="A7" s="227" t="inlineStr">
        <is>
          <t>Property 3</t>
        </is>
      </c>
      <c r="B7" s="228" t="inlineStr">
        <is>
          <t>—</t>
        </is>
      </c>
      <c r="C7" s="229" t="n">
        <v>0</v>
      </c>
      <c r="D7" s="230" t="inlineStr">
        <is>
          <t>— pending</t>
        </is>
      </c>
      <c r="E7" s="230" t="inlineStr">
        <is>
          <t>— pending</t>
        </is>
      </c>
      <c r="F7" s="230" t="inlineStr">
        <is>
          <t>— pending</t>
        </is>
      </c>
      <c r="G7" s="230" t="inlineStr">
        <is>
          <t>— pending</t>
        </is>
      </c>
      <c r="H7" s="230" t="inlineStr">
        <is>
          <t>— pending</t>
        </is>
      </c>
      <c r="I7" s="230" t="inlineStr">
        <is>
          <t>— pending</t>
        </is>
      </c>
      <c r="J7" s="230" t="inlineStr">
        <is>
          <t>— pending</t>
        </is>
      </c>
      <c r="K7" s="230" t="inlineStr">
        <is>
          <t>— pending</t>
        </is>
      </c>
      <c r="L7" s="230" t="inlineStr">
        <is>
          <t>— pending</t>
        </is>
      </c>
      <c r="M7" s="230" t="inlineStr">
        <is>
          <t>— pending</t>
        </is>
      </c>
      <c r="N7" s="230" t="inlineStr">
        <is>
          <t>— pending</t>
        </is>
      </c>
      <c r="O7" s="230" t="inlineStr">
        <is>
          <t>— pending</t>
        </is>
      </c>
      <c r="P7" s="230" t="inlineStr">
        <is>
          <t>— pending</t>
        </is>
      </c>
    </row>
    <row r="8" ht="16.5" customHeight="1" s="123">
      <c r="A8" s="223" t="inlineStr">
        <is>
          <t>Property 4 (incoming)</t>
        </is>
      </c>
      <c r="B8" s="224" t="inlineStr">
        <is>
          <t>—</t>
        </is>
      </c>
      <c r="C8" s="225" t="n">
        <v>0</v>
      </c>
      <c r="D8" s="226" t="inlineStr">
        <is>
          <t>— pending</t>
        </is>
      </c>
      <c r="E8" s="226" t="inlineStr">
        <is>
          <t>— pending</t>
        </is>
      </c>
      <c r="F8" s="226" t="inlineStr">
        <is>
          <t>— pending</t>
        </is>
      </c>
      <c r="G8" s="226" t="inlineStr">
        <is>
          <t>— pending</t>
        </is>
      </c>
      <c r="H8" s="226" t="inlineStr">
        <is>
          <t>— pending</t>
        </is>
      </c>
      <c r="I8" s="226" t="inlineStr">
        <is>
          <t>— pending</t>
        </is>
      </c>
      <c r="J8" s="226" t="inlineStr">
        <is>
          <t>— pending</t>
        </is>
      </c>
      <c r="K8" s="226" t="inlineStr">
        <is>
          <t>— pending</t>
        </is>
      </c>
      <c r="L8" s="226" t="inlineStr">
        <is>
          <t>— pending</t>
        </is>
      </c>
      <c r="M8" s="226" t="inlineStr">
        <is>
          <t>— pending</t>
        </is>
      </c>
      <c r="N8" s="226" t="inlineStr">
        <is>
          <t>— pending</t>
        </is>
      </c>
      <c r="O8" s="226" t="inlineStr">
        <is>
          <t>— pending</t>
        </is>
      </c>
      <c r="P8" s="226" t="inlineStr">
        <is>
          <t>— pending</t>
        </is>
      </c>
    </row>
    <row r="9" ht="7.5" customHeight="1" s="123"/>
    <row r="10" ht="18" customHeight="1" s="123">
      <c r="A10" s="169" t="inlineStr">
        <is>
          <t>PORTFOLIO TOTAL / AVG</t>
        </is>
      </c>
      <c r="B10" s="170" t="n"/>
      <c r="C10" s="170" t="n"/>
      <c r="D10" s="171">
        <f>IFERROR(SUM(D5:D5),0)</f>
        <v/>
      </c>
      <c r="E10" s="171">
        <f>IFERROR(SUM(E5:E5),0)</f>
        <v/>
      </c>
      <c r="F10" s="171">
        <f>IFERROR(SUM(F5:F5),0)</f>
        <v/>
      </c>
      <c r="G10" s="171">
        <f>IFERROR(SUM(G5:G5),0)</f>
        <v/>
      </c>
      <c r="H10" s="211">
        <f>IFERROR(AVERAGE(H5:H5),0)</f>
        <v/>
      </c>
      <c r="I10" s="171">
        <f>IFERROR(SUM(I5:I5),0)</f>
        <v/>
      </c>
      <c r="J10" s="171">
        <f>IFERROR(SUM(J5:J5),0)</f>
        <v/>
      </c>
      <c r="K10" s="171">
        <f>IFERROR(SUM(K5:K5),0)</f>
        <v/>
      </c>
      <c r="L10" s="171">
        <f>IFERROR(SUM(L5:L5),0)</f>
        <v/>
      </c>
      <c r="M10" s="211">
        <f>IFERROR(AVERAGE(M5:M5),0)</f>
        <v/>
      </c>
      <c r="N10" s="211">
        <f>IFERROR(AVERAGE(N5:N5),0)</f>
        <v/>
      </c>
      <c r="O10" s="171">
        <f>IFERROR(AVERAGE(O5:O5),0)</f>
        <v/>
      </c>
      <c r="P10" s="231">
        <f>IFERROR(AVERAGE(P5:P5),0)</f>
        <v/>
      </c>
    </row>
    <row r="12" ht="36" customHeight="1" s="123">
      <c r="A12" s="183" t="inlineStr">
        <is>
          <t>DATA SOURCE: Each property's numbers come from its own workbook (ferncrest_[code].xlsx) → Report_Data tab. Python script reads all workbooks in /ferncrest/properties/ folder and writes to this sheet. For franchisee properties, data comes from their submitted monthly template, not a live workbook.</t>
        </is>
      </c>
    </row>
  </sheetData>
  <mergeCells count="9">
    <mergeCell ref="L3:M3"/>
    <mergeCell ref="A1:P1"/>
    <mergeCell ref="D3:F3"/>
    <mergeCell ref="A3:C3"/>
    <mergeCell ref="A12:P12"/>
    <mergeCell ref="I3:K3"/>
    <mergeCell ref="G3:H3"/>
    <mergeCell ref="N3:P3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tabColor rgb="FF6B6B5E"/>
    <outlinePr summaryBelow="1" summaryRight="1"/>
    <pageSetUpPr fitToPage="0"/>
  </sheetPr>
  <dimension ref="A1:D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22" min="1" max="1"/>
    <col width="20" customWidth="1" style="122" min="2" max="2"/>
    <col width="14" customWidth="1" style="122" min="3" max="3"/>
    <col width="28" customWidth="1" style="122" min="4" max="4"/>
  </cols>
  <sheetData>
    <row r="1" ht="27.75" customHeight="1" s="123">
      <c r="A1" s="124" t="inlineStr">
        <is>
          <t>REPORT DATA BRIDGE  |  Auto-generated output for Python/HTML report script</t>
        </is>
      </c>
    </row>
    <row r="2" ht="7.5" customHeight="1" s="123"/>
    <row r="3" ht="15" customHeight="1" s="123">
      <c r="A3" s="232" t="inlineStr">
        <is>
          <t>DO NOT EDIT manually. This sheet is read by the Python reporting script. All cells link from other sheets.</t>
        </is>
      </c>
    </row>
    <row r="4" ht="30" customHeight="1" s="123">
      <c r="A4" s="129" t="inlineStr">
        <is>
          <t>Key</t>
        </is>
      </c>
      <c r="B4" s="129" t="inlineStr">
        <is>
          <t>Value</t>
        </is>
      </c>
      <c r="C4" s="129" t="inlineStr">
        <is>
          <t>Format</t>
        </is>
      </c>
      <c r="D4" s="129" t="inlineStr">
        <is>
          <t>Source</t>
        </is>
      </c>
    </row>
    <row r="5" ht="15" customHeight="1" s="123">
      <c r="A5" s="233" t="inlineStr">
        <is>
          <t>report_period</t>
        </is>
      </c>
      <c r="B5" s="199" t="inlineStr">
        <is>
          <t>2026</t>
        </is>
      </c>
      <c r="C5" s="165" t="inlineStr">
        <is>
          <t>text</t>
        </is>
      </c>
      <c r="D5" s="234" t="inlineStr">
        <is>
          <t>Config</t>
        </is>
      </c>
    </row>
    <row r="6" ht="15" customHeight="1" s="123">
      <c r="A6" s="235" t="inlineStr">
        <is>
          <t>property_name</t>
        </is>
      </c>
      <c r="B6" s="236">
        <f>Config!B4</f>
        <v/>
      </c>
      <c r="C6" s="165" t="inlineStr">
        <is>
          <t>text</t>
        </is>
      </c>
      <c r="D6" s="234" t="inlineStr">
        <is>
          <t>Config</t>
        </is>
      </c>
    </row>
    <row r="7" ht="15" customHeight="1" s="123">
      <c r="A7" s="233" t="inlineStr">
        <is>
          <t>property_code</t>
        </is>
      </c>
      <c r="B7" s="236">
        <f>Config!B5</f>
        <v/>
      </c>
      <c r="C7" s="165" t="inlineStr">
        <is>
          <t>text</t>
        </is>
      </c>
      <c r="D7" s="234" t="inlineStr">
        <is>
          <t>Config</t>
        </is>
      </c>
    </row>
    <row r="8" ht="15" customHeight="1" s="123">
      <c r="A8" s="235" t="inlineStr">
        <is>
          <t>total_units</t>
        </is>
      </c>
      <c r="B8" s="237">
        <f>Config!B7</f>
        <v/>
      </c>
      <c r="C8" s="165" t="inlineStr">
        <is>
          <t>integer</t>
        </is>
      </c>
      <c r="D8" s="234" t="inlineStr">
        <is>
          <t>Config</t>
        </is>
      </c>
    </row>
    <row r="9" ht="15" customHeight="1" s="123">
      <c r="A9" s="233" t="inlineStr">
        <is>
          <t>budget_net_revenue_fy</t>
        </is>
      </c>
      <c r="B9" s="140" t="n">
        <v>300006</v>
      </c>
      <c r="C9" s="165" t="inlineStr">
        <is>
          <t>dollar</t>
        </is>
      </c>
      <c r="D9" s="234" t="inlineStr">
        <is>
          <t>Budget_2026</t>
        </is>
      </c>
    </row>
    <row r="10" ht="15" customHeight="1" s="123">
      <c r="A10" s="235" t="inlineStr">
        <is>
          <t>forecast_net_revenue_fy</t>
        </is>
      </c>
      <c r="B10" s="140" t="n">
        <v>300006</v>
      </c>
      <c r="C10" s="165" t="inlineStr">
        <is>
          <t>dollar</t>
        </is>
      </c>
      <c r="D10" s="234" t="inlineStr">
        <is>
          <t>Forecast_Rolling</t>
        </is>
      </c>
    </row>
    <row r="11" ht="15" customHeight="1" s="123">
      <c r="A11" s="233" t="inlineStr">
        <is>
          <t>actual_net_revenue_ytd</t>
        </is>
      </c>
      <c r="B11" s="140" t="n">
        <v>57632.67</v>
      </c>
      <c r="C11" s="165" t="inlineStr">
        <is>
          <t>dollar</t>
        </is>
      </c>
      <c r="D11" s="234" t="inlineStr">
        <is>
          <t>Actuals_Input</t>
        </is>
      </c>
    </row>
    <row r="12" ht="15" customHeight="1" s="123">
      <c r="A12" s="235" t="inlineStr">
        <is>
          <t>budget_noi_fy</t>
        </is>
      </c>
      <c r="B12" s="140" t="n">
        <v>88667</v>
      </c>
      <c r="C12" s="165" t="inlineStr">
        <is>
          <t>dollar</t>
        </is>
      </c>
      <c r="D12" s="234" t="inlineStr">
        <is>
          <t>Budget_2026</t>
        </is>
      </c>
    </row>
    <row r="13" ht="15" customHeight="1" s="123">
      <c r="A13" s="233" t="inlineStr">
        <is>
          <t>forecast_noi_fy</t>
        </is>
      </c>
      <c r="B13" s="140" t="n">
        <v>88667</v>
      </c>
      <c r="C13" s="165" t="inlineStr">
        <is>
          <t>dollar</t>
        </is>
      </c>
      <c r="D13" s="234" t="inlineStr">
        <is>
          <t>Forecast_Rolling</t>
        </is>
      </c>
    </row>
    <row r="14" ht="15" customHeight="1" s="123">
      <c r="A14" s="235" t="inlineStr">
        <is>
          <t>actual_noi_ytd</t>
        </is>
      </c>
      <c r="B14" s="140" t="n">
        <v>0</v>
      </c>
      <c r="C14" s="165" t="inlineStr">
        <is>
          <t>dollar</t>
        </is>
      </c>
      <c r="D14" s="234" t="inlineStr">
        <is>
          <t>Actuals_Input</t>
        </is>
      </c>
    </row>
    <row r="15" ht="15" customHeight="1" s="123">
      <c r="A15" s="233" t="inlineStr">
        <is>
          <t>forecast_occ_rate</t>
        </is>
      </c>
      <c r="B15" s="137" t="n">
        <v>0.283</v>
      </c>
      <c r="C15" s="165" t="inlineStr">
        <is>
          <t>percent</t>
        </is>
      </c>
      <c r="D15" s="234" t="inlineStr">
        <is>
          <t>Forecast_Rolling</t>
        </is>
      </c>
    </row>
    <row r="16" ht="15" customHeight="1" s="123">
      <c r="A16" s="235" t="inlineStr">
        <is>
          <t>forecast_adr</t>
        </is>
      </c>
      <c r="B16" s="140" t="n">
        <v>233</v>
      </c>
      <c r="C16" s="165" t="inlineStr">
        <is>
          <t>dollar</t>
        </is>
      </c>
      <c r="D16" s="234" t="inlineStr">
        <is>
          <t>Forecast_Rolling</t>
        </is>
      </c>
    </row>
    <row r="17" ht="15" customHeight="1" s="123">
      <c r="A17" s="233" t="inlineStr">
        <is>
          <t>forecast_revpar</t>
        </is>
      </c>
      <c r="B17" s="140" t="n">
        <v>65.97</v>
      </c>
      <c r="C17" s="165" t="inlineStr">
        <is>
          <t>dollar</t>
        </is>
      </c>
      <c r="D17" s="234" t="inlineStr">
        <is>
          <t>Forecast_Rolling</t>
        </is>
      </c>
    </row>
    <row r="18" ht="15" customHeight="1" s="123">
      <c r="A18" s="235" t="inlineStr">
        <is>
          <t>pace_may_on_books</t>
        </is>
      </c>
      <c r="B18" s="238" t="n">
        <v>48</v>
      </c>
      <c r="C18" s="165" t="inlineStr">
        <is>
          <t>integer</t>
        </is>
      </c>
      <c r="D18" s="234" t="inlineStr">
        <is>
          <t>Pace_Weekly</t>
        </is>
      </c>
    </row>
    <row r="19" ht="15" customHeight="1" s="123">
      <c r="A19" s="233" t="inlineStr">
        <is>
          <t>pace_may_budget_occ</t>
        </is>
      </c>
      <c r="B19" s="137" t="n">
        <v>0.3</v>
      </c>
      <c r="C19" s="165" t="inlineStr">
        <is>
          <t>percent</t>
        </is>
      </c>
      <c r="D19" s="234" t="inlineStr">
        <is>
          <t>Pace_Weekly</t>
        </is>
      </c>
    </row>
    <row r="20" ht="15" customHeight="1" s="123">
      <c r="A20" s="235" t="inlineStr">
        <is>
          <t>pace_jun_on_books</t>
        </is>
      </c>
      <c r="B20" s="238" t="n">
        <v>49</v>
      </c>
      <c r="C20" s="165" t="inlineStr">
        <is>
          <t>integer</t>
        </is>
      </c>
      <c r="D20" s="234" t="inlineStr">
        <is>
          <t>Pace_Weekly</t>
        </is>
      </c>
    </row>
    <row r="21" ht="15" customHeight="1" s="123">
      <c r="A21" s="233" t="inlineStr">
        <is>
          <t>pace_jun_budget_occ</t>
        </is>
      </c>
      <c r="B21" s="137" t="n">
        <v>0.3</v>
      </c>
      <c r="C21" s="165" t="inlineStr">
        <is>
          <t>percent</t>
        </is>
      </c>
      <c r="D21" s="234" t="inlineStr">
        <is>
          <t>Pace_Weekly</t>
        </is>
      </c>
    </row>
    <row r="22" ht="15" customHeight="1" s="123">
      <c r="A22" s="235" t="inlineStr">
        <is>
          <t>pace_jul_on_books</t>
        </is>
      </c>
      <c r="B22" s="238" t="n">
        <v>10</v>
      </c>
      <c r="C22" s="165" t="inlineStr">
        <is>
          <t>integer</t>
        </is>
      </c>
      <c r="D22" s="234" t="inlineStr">
        <is>
          <t>Pace_Weekly</t>
        </is>
      </c>
    </row>
    <row r="23" ht="15" customHeight="1" s="123">
      <c r="A23" s="233" t="inlineStr">
        <is>
          <t>pace_jul_budget_occ</t>
        </is>
      </c>
      <c r="B23" s="137" t="n">
        <v>0.4</v>
      </c>
      <c r="C23" s="165" t="inlineStr">
        <is>
          <t>percent</t>
        </is>
      </c>
      <c r="D23" s="234" t="inlineStr">
        <is>
          <t>Pace_Weekly</t>
        </is>
      </c>
    </row>
    <row r="24" ht="15" customHeight="1" s="123">
      <c r="A24" s="122" t="inlineStr">
        <is>
          <t>actual_nights_sold_ytd</t>
        </is>
      </c>
      <c r="B24" s="122" t="n">
        <v>250</v>
      </c>
    </row>
    <row r="25" ht="15" customHeight="1" s="123">
      <c r="A25" s="122" t="inlineStr">
        <is>
          <t>actual_occ_rate_ytd</t>
        </is>
      </c>
      <c r="B25" s="122" t="n">
        <v>0.1736</v>
      </c>
    </row>
    <row r="26" ht="15" customHeight="1" s="123">
      <c r="A26" s="122" t="inlineStr">
        <is>
          <t>actual_adr_ytd</t>
        </is>
      </c>
      <c r="B26" s="122" t="n">
        <v>230.53</v>
      </c>
    </row>
    <row r="27" ht="15" customHeight="1" s="123">
      <c r="A27" s="122" t="inlineStr">
        <is>
          <t>actual_revpar_ytd</t>
        </is>
      </c>
      <c r="B27" s="122" t="n">
        <v>40.02</v>
      </c>
    </row>
    <row r="28" ht="15" customHeight="1" s="123">
      <c r="A28" s="122" t="inlineStr">
        <is>
          <t>pace_may_occ_pct</t>
        </is>
      </c>
      <c r="B28" s="122" t="n">
        <v>0.129</v>
      </c>
    </row>
    <row r="29" ht="15" customHeight="1" s="123">
      <c r="A29" s="122" t="inlineStr">
        <is>
          <t>pace_may_adr</t>
        </is>
      </c>
      <c r="B29" s="122" t="n">
        <v>301.24</v>
      </c>
    </row>
    <row r="30" ht="15" customHeight="1" s="123">
      <c r="A30" s="122" t="inlineStr">
        <is>
          <t>pace_jun_occ_pct</t>
        </is>
      </c>
      <c r="B30" s="122" t="n">
        <v>0.1361</v>
      </c>
    </row>
    <row r="31" ht="15" customHeight="1" s="123">
      <c r="A31" s="122" t="inlineStr">
        <is>
          <t>pace_jun_adr</t>
        </is>
      </c>
      <c r="B31" s="122" t="n">
        <v>254.48</v>
      </c>
    </row>
    <row r="32" ht="15" customHeight="1" s="123">
      <c r="A32" s="122" t="inlineStr">
        <is>
          <t>pace_jul_occ_pct</t>
        </is>
      </c>
      <c r="B32" s="122" t="n">
        <v>0.0269</v>
      </c>
    </row>
    <row r="33" ht="15" customHeight="1" s="123">
      <c r="A33" s="122" t="inlineStr">
        <is>
          <t>pace_jul_adr</t>
        </is>
      </c>
      <c r="B33" s="122" t="n">
        <v>395</v>
      </c>
    </row>
    <row r="34" ht="15" customHeight="1" s="123">
      <c r="A34" s="122" t="inlineStr">
        <is>
          <t>last_updated</t>
        </is>
      </c>
      <c r="B34" s="122" t="inlineStr">
        <is>
          <t>2026-05-01</t>
        </is>
      </c>
    </row>
  </sheetData>
  <mergeCells count="2">
    <mergeCell ref="A1:D1"/>
    <mergeCell ref="A3:D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C8923A"/>
    <outlinePr summaryBelow="1" summaryRight="1"/>
    <pageSetUpPr fitToPage="0"/>
  </sheetPr>
  <dimension ref="A1:C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22" min="1" max="1"/>
    <col width="70" customWidth="1" style="122" min="2" max="2"/>
    <col width="14" customWidth="1" style="122" min="3" max="3"/>
  </cols>
  <sheetData>
    <row r="1" ht="27.75" customHeight="1" s="123">
      <c r="A1" s="124" t="inlineStr">
        <is>
          <t>WORKBOOK LEGEND &amp; SYSTEM GUIDE</t>
        </is>
      </c>
    </row>
    <row r="2" ht="7.5" customHeight="1" s="123"/>
    <row r="3" ht="13.5" customHeight="1" s="123">
      <c r="A3" s="125" t="inlineStr">
        <is>
          <t>COLOR CODING</t>
        </is>
      </c>
      <c r="B3" s="126" t="n"/>
      <c r="C3" s="126" t="n"/>
    </row>
    <row r="4" ht="27.75" customHeight="1" s="123">
      <c r="A4" s="239" t="inlineStr">
        <is>
          <t>Blue text</t>
        </is>
      </c>
      <c r="B4" s="240" t="inlineStr">
        <is>
          <t>Manual input — enter data here</t>
        </is>
      </c>
    </row>
    <row r="5" ht="27.75" customHeight="1" s="123">
      <c r="A5" s="241" t="inlineStr">
        <is>
          <t>Black text</t>
        </is>
      </c>
      <c r="B5" s="242" t="inlineStr">
        <is>
          <t>Formula — do not edit</t>
        </is>
      </c>
    </row>
    <row r="6" ht="27.75" customHeight="1" s="123">
      <c r="A6" s="243" t="inlineStr">
        <is>
          <t>Green text</t>
        </is>
      </c>
      <c r="B6" s="240" t="inlineStr">
        <is>
          <t>Cross-sheet link — do not edit</t>
        </is>
      </c>
    </row>
    <row r="7" ht="27.75" customHeight="1" s="123">
      <c r="A7" s="244" t="inlineStr">
        <is>
          <t>Yellow cell</t>
        </is>
      </c>
      <c r="B7" s="242" t="inlineStr">
        <is>
          <t>Needs update this period</t>
        </is>
      </c>
    </row>
    <row r="8" ht="27.75" customHeight="1" s="123">
      <c r="A8" s="245" t="inlineStr">
        <is>
          <t>Light blue cell</t>
        </is>
      </c>
      <c r="B8" s="240" t="inlineStr">
        <is>
          <t>Awaiting data entry</t>
        </is>
      </c>
    </row>
    <row r="9" ht="27.75" customHeight="1" s="123">
      <c r="A9" s="235" t="inlineStr">
        <is>
          <t>Forest green header</t>
        </is>
      </c>
      <c r="B9" s="242" t="inlineStr">
        <is>
          <t>Total / summary row</t>
        </is>
      </c>
    </row>
    <row r="10" ht="27.75" customHeight="1" s="123">
      <c r="A10" s="246" t="inlineStr">
        <is>
          <t>Gold header</t>
        </is>
      </c>
      <c r="B10" s="240" t="inlineStr">
        <is>
          <t>Key profit metric (NOI)</t>
        </is>
      </c>
    </row>
    <row r="11" ht="27.75" customHeight="1" s="123">
      <c r="A11" s="247" t="inlineStr">
        <is>
          <t>Sage column</t>
        </is>
      </c>
      <c r="B11" s="242" t="inlineStr">
        <is>
          <t>FY total or average</t>
        </is>
      </c>
    </row>
    <row r="12" ht="7.5" customHeight="1" s="123"/>
    <row r="13" ht="13.5" customHeight="1" s="123">
      <c r="A13" s="125" t="inlineStr">
        <is>
          <t>SHEET GUIDE</t>
        </is>
      </c>
      <c r="B13" s="126" t="n"/>
      <c r="C13" s="126" t="n"/>
    </row>
    <row r="14" ht="27.75" customHeight="1" s="123">
      <c r="A14" s="127" t="inlineStr">
        <is>
          <t>Config</t>
        </is>
      </c>
      <c r="B14" s="240" t="inlineStr">
        <is>
          <t>Property settings, unit types, occupancy assumptions. Update ADR and occ here each month before refreshing Forecast.</t>
        </is>
      </c>
    </row>
    <row r="15" ht="27.75" customHeight="1" s="123">
      <c r="A15" s="248" t="inlineStr">
        <is>
          <t>Budget_2026</t>
        </is>
      </c>
      <c r="B15" s="242" t="inlineStr">
        <is>
          <t>Locked at year start. Never edit. This is your accountability baseline.</t>
        </is>
      </c>
    </row>
    <row r="16" ht="27.75" customHeight="1" s="123">
      <c r="A16" s="127" t="inlineStr">
        <is>
          <t>Forecast_Rolling</t>
        </is>
      </c>
      <c r="B16" s="240" t="inlineStr">
        <is>
          <t>Update occupancy and ADR assumptions monthly. Yellow cells are your inputs.</t>
        </is>
      </c>
    </row>
    <row r="17" ht="27.75" customHeight="1" s="123">
      <c r="A17" s="248" t="inlineStr">
        <is>
          <t>Actuals_Input</t>
        </is>
      </c>
      <c r="B17" s="242" t="inlineStr">
        <is>
          <t>Enter actuals each month after books close. Blue cells = manual entry.</t>
        </is>
      </c>
    </row>
    <row r="18" ht="27.75" customHeight="1" s="123">
      <c r="A18" s="127" t="inlineStr">
        <is>
          <t>Pace_Weekly</t>
        </is>
      </c>
      <c r="B18" s="240" t="inlineStr">
        <is>
          <t>Rolling log — append 8 rows every Monday. Enter 'On Books Now', 'Weeks Out', 'LY Same Point', and 'ADR On Books'. Builds your pick-up curve over time. Template block at bottom of sheet — copy/paste each week.</t>
        </is>
      </c>
    </row>
    <row r="19" ht="27.75" customHeight="1" s="123">
      <c r="A19" s="248" t="inlineStr">
        <is>
          <t>Variance</t>
        </is>
      </c>
      <c r="B19" s="242" t="inlineStr">
        <is>
          <t>Auto-calculated. Budget vs Forecast vs Actual. Link budget/forecast/actual columns to other sheets.</t>
        </is>
      </c>
    </row>
    <row r="20" ht="27.75" customHeight="1" s="123">
      <c r="A20" s="127" t="inlineStr">
        <is>
          <t>Portfolio_Rollup</t>
        </is>
      </c>
      <c r="B20" s="240" t="inlineStr">
        <is>
          <t>Summary only — one row per property. Populated by Python script from each property's Report_Data tab. Do not edit manually. Add property rows as new locations onboard.</t>
        </is>
      </c>
    </row>
    <row r="21" ht="27.75" customHeight="1" s="123">
      <c r="A21" s="248" t="inlineStr">
        <is>
          <t>Report_Data</t>
        </is>
      </c>
      <c r="B21" s="242" t="inlineStr">
        <is>
          <t>Bridge sheet for Python script. Do not edit manually.</t>
        </is>
      </c>
    </row>
  </sheetData>
  <mergeCells count="3">
    <mergeCell ref="A1:C1"/>
    <mergeCell ref="A3:C3"/>
    <mergeCell ref="A13:C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2026-04-29T16:43:15Z</dcterms:created>
  <dcterms:modified xsi:type="dcterms:W3CDTF">2026-05-02T06:40:11Z</dcterms:modified>
  <cp:revision>0</cp:revision>
</cp:coreProperties>
</file>